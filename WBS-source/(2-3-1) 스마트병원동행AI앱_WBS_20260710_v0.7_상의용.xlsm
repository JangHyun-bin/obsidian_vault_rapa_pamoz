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51196F13-6AD0-C1B8-E2B4-A1F9AE17003E}"/>
  <workbookPr codeName="ThisWorkbook"/>
  <mc:AlternateContent xmlns:mc="http://schemas.openxmlformats.org/markup-compatibility/2006">
    <mc:Choice Requires="x15">
      <x15ac:absPath xmlns:x15ac="http://schemas.microsoft.com/office/spreadsheetml/2010/11/ac" url="D:\HB\P.RAPA_DEV\Docs\OUTPUT\WBS\"/>
    </mc:Choice>
  </mc:AlternateContent>
  <xr:revisionPtr revIDLastSave="0" documentId="13_ncr:1_{D9EA26F0-97B5-418C-92AB-5CDC842F0330}" xr6:coauthVersionLast="47" xr6:coauthVersionMax="47" xr10:uidLastSave="{00000000-0000-0000-0000-000000000000}"/>
  <bookViews>
    <workbookView xWindow="76690" yWindow="-110" windowWidth="38620" windowHeight="21820" tabRatio="636" activeTab="1" xr2:uid="{00000000-000D-0000-FFFF-FFFF00000000}"/>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2" i="31" l="1"/>
  <c r="FE5" i="31"/>
  <c r="JA5" i="31"/>
  <c r="BY6" i="31"/>
  <c r="BY7" i="31"/>
  <c r="BU8" i="31"/>
  <c r="BU9" i="31"/>
  <c r="BU10" i="31"/>
  <c r="AQ11" i="31"/>
  <c r="JA11" i="31"/>
  <c r="AQ12" i="31"/>
  <c r="EH13" i="31"/>
  <c r="IZ14" i="31"/>
  <c r="CI15" i="31"/>
  <c r="DD15" i="31"/>
  <c r="CI16" i="31"/>
  <c r="CJ17" i="31"/>
  <c r="CJ18" i="31"/>
  <c r="CK19" i="31"/>
  <c r="CT19" i="31"/>
  <c r="CJ20" i="31"/>
  <c r="CZ20" i="31"/>
  <c r="CJ21" i="31"/>
  <c r="CW21" i="31"/>
  <c r="CJ22" i="31"/>
  <c r="DD22" i="31"/>
  <c r="CL23" i="31"/>
  <c r="FD23" i="31"/>
  <c r="CK24" i="31"/>
  <c r="DD24" i="31"/>
  <c r="CJ25" i="31"/>
  <c r="FD25" i="31"/>
  <c r="CU26" i="31"/>
  <c r="DD26" i="31"/>
  <c r="CJ27" i="31"/>
  <c r="CJ28" i="31"/>
  <c r="CD29" i="31"/>
  <c r="AZ30" i="31"/>
  <c r="AL31" i="31"/>
  <c r="AZ32" i="31"/>
  <c r="CM33" i="31"/>
  <c r="EI33" i="31"/>
  <c r="CM34" i="31"/>
  <c r="EI34" i="31"/>
  <c r="CM35" i="31"/>
  <c r="EI35" i="31"/>
  <c r="CG36" i="31"/>
  <c r="EI36" i="31"/>
  <c r="CK37" i="31"/>
  <c r="DD37" i="31"/>
  <c r="CM38" i="31"/>
  <c r="EI38" i="31"/>
  <c r="BG39" i="31"/>
  <c r="JA39" i="31"/>
  <c r="DF40" i="31"/>
  <c r="HV40" i="31"/>
  <c r="DF41" i="31"/>
  <c r="GI41" i="31"/>
  <c r="EI42" i="31"/>
  <c r="HV42" i="31"/>
  <c r="CK43" i="31"/>
  <c r="HS43" i="31"/>
  <c r="CK44" i="31"/>
  <c r="FN44" i="31"/>
  <c r="GS45" i="31"/>
  <c r="HS45" i="31"/>
  <c r="DI46" i="31"/>
  <c r="FM46" i="31"/>
  <c r="CI47" i="31"/>
  <c r="CK48" i="31"/>
  <c r="DK48" i="31"/>
  <c r="DM49" i="31"/>
  <c r="CH50" i="31"/>
  <c r="GQ50" i="31"/>
  <c r="CJ51" i="31"/>
  <c r="DK51" i="31"/>
  <c r="CK52" i="31"/>
  <c r="DK52" i="31"/>
  <c r="DM53" i="31"/>
  <c r="EF53" i="31"/>
  <c r="EA54" i="31"/>
  <c r="FM54" i="31"/>
  <c r="FN55" i="31"/>
  <c r="GQ55" i="31"/>
  <c r="DF56" i="31"/>
  <c r="HV56" i="31"/>
  <c r="DF57" i="31"/>
  <c r="HV57" i="31"/>
  <c r="EI58" i="31"/>
  <c r="HV58" i="31"/>
  <c r="BZ59" i="31"/>
  <c r="HV59" i="31"/>
  <c r="CL60" i="31"/>
  <c r="GQ60" i="31"/>
  <c r="CK61" i="31"/>
  <c r="HV61" i="31"/>
  <c r="DF62" i="31"/>
  <c r="JA62" i="31"/>
  <c r="DF63" i="31"/>
  <c r="HV63" i="31"/>
  <c r="DF64" i="31"/>
  <c r="HV64" i="31"/>
  <c r="GS65" i="31"/>
  <c r="DF66" i="31"/>
  <c r="HV66" i="31"/>
  <c r="DF67" i="31"/>
  <c r="HV67" i="31"/>
  <c r="DF68" i="31"/>
  <c r="HV68" i="31"/>
  <c r="DF69" i="31"/>
  <c r="HV69" i="31"/>
  <c r="FC70" i="31"/>
  <c r="GX70" i="31"/>
  <c r="FC71" i="31"/>
  <c r="GX71" i="31"/>
  <c r="FX72" i="31"/>
  <c r="GX72" i="31"/>
  <c r="FX73" i="31"/>
  <c r="CB74" i="31"/>
  <c r="JA74" i="31"/>
  <c r="CG75" i="31"/>
  <c r="JA75" i="31"/>
  <c r="EI76" i="31"/>
  <c r="GQ76" i="31"/>
  <c r="CK77" i="31"/>
  <c r="EI77" i="31"/>
  <c r="EI78" i="31"/>
  <c r="HV78" i="31"/>
  <c r="GS79" i="31"/>
  <c r="IG79" i="31"/>
  <c r="HV80" i="31"/>
  <c r="JA80" i="31"/>
  <c r="GS81" i="31"/>
  <c r="JA81" i="31"/>
  <c r="GS82" i="31"/>
  <c r="JA82" i="31"/>
  <c r="HG83" i="31"/>
  <c r="JA83" i="31"/>
  <c r="GS84" i="31"/>
  <c r="JA84" i="31"/>
  <c r="GS85" i="31"/>
  <c r="JA85" i="31"/>
  <c r="GS86" i="31"/>
  <c r="JA86" i="31"/>
  <c r="GS87" i="31"/>
  <c r="JA87" i="31"/>
  <c r="GS88" i="31"/>
  <c r="JA88" i="31"/>
  <c r="CF89" i="31"/>
  <c r="JA89" i="31"/>
  <c r="DF90" i="31"/>
  <c r="EX90" i="31"/>
  <c r="DD91" i="31"/>
  <c r="DF92" i="31"/>
  <c r="EX92" i="31"/>
  <c r="GS93" i="31"/>
  <c r="JA93" i="31"/>
  <c r="GS94" i="31"/>
  <c r="IG94" i="31"/>
  <c r="HV95" i="31"/>
  <c r="JA95" i="31"/>
  <c r="FM96" i="31"/>
  <c r="JA96" i="31"/>
  <c r="FM97" i="31"/>
  <c r="JA97" i="31"/>
  <c r="FM98" i="31"/>
  <c r="JA98" i="31"/>
  <c r="DF99" i="31"/>
  <c r="HV99" i="31"/>
  <c r="DF100" i="31"/>
  <c r="HV100" i="31"/>
  <c r="GS101" i="31"/>
  <c r="GZ102" i="31"/>
  <c r="HV102"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<sst xmlns="http://schemas.openxmlformats.org/spreadsheetml/2006/main" count="2942" uniqueCount="1909">
  <si>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</si>
  <si>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</si>
  <si>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</si>
  <si>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</si>
  <si>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</si>
  <si>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</si>
  <si>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</si>
  <si>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</si>
  <si>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</si>
  <si>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</si>
  <si>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</si>
  <si>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</si>
  <si>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</si>
  <si>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</si>
  <si>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</si>
  <si>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</si>
  <si>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</si>
  <si>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</si>
  <si>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</si>
  <si>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</si>
  <si>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</si>
  <si>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</si>
  <si>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</si>
  <si>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</si>
  <si>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</si>
  <si>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</si>
  <si>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</si>
  <si>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</si>
  <si>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</si>
  <si>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</si>
  <si>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</si>
  <si>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</si>
  <si>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</si>
  <si>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</si>
  <si>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</si>
  <si>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</si>
  <si>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</si>
  <si>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</si>
  <si>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</si>
  <si>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</si>
  <si>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</si>
  <si>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</si>
  <si>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</si>
  <si>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</si>
  <si>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</si>
  <si>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</si>
  <si>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</si>
  <si>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</si>
  <si>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</si>
  <si>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</si>
  <si>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</si>
  <si>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</si>
  <si>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</si>
  <si>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</si>
  <si>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</si>
  <si>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</si>
  <si>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</si>
  <si>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</si>
  <si>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</si>
  <si>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</si>
  <si>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</si>
  <si>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</si>
  <si>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</si>
  <si>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</si>
  <si>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</si>
  <si>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</si>
  <si>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</si>
  <si>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</si>
  <si>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</si>
  <si>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</si>
  <si>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</si>
  <si>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</si>
  <si>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</si>
  <si>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</si>
  <si>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</si>
  <si>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</si>
  <si>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</si>
  <si>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</si>
  <si>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</si>
  <si>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</si>
  <si>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</si>
  <si>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</si>
  <si>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</si>
  <si>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</si>
  <si>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</si>
  <si>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</si>
  <si>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</si>
  <si>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</si>
  <si>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</si>
  <si>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</si>
  <si>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</si>
  <si>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</si>
  <si>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</si>
  <si>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</si>
  <si>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</si>
  <si>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</si>
  <si>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</si>
  <si>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</si>
  <si>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</si>
  <si>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</si>
  <si>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</si>
  <si>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</si>
  <si>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</si>
  <si>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</si>
  <si>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</si>
  <si>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</si>
  <si>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</si>
  <si>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</si>
  <si>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</si>
  <si>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</si>
  <si>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</si>
  <si>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</si>
  <si>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</si>
  <si>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</si>
  <si>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</si>
  <si>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</si>
  <si>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</si>
  <si>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</si>
  <si>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</si>
  <si>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</si>
  <si>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</si>
  <si>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</si>
  <si>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</si>
  <si>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</si>
  <si>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</si>
  <si>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</si>
  <si>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</si>
  <si>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</si>
  <si>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</si>
  <si>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</si>
  <si>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</si>
  <si>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</si>
  <si>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</si>
  <si>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</si>
  <si>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</si>
  <si>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</si>
  <si>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</si>
  <si>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</si>
  <si>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</si>
  <si>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</si>
  <si>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</si>
  <si>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</si>
  <si>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</si>
  <si>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</si>
  <si>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</si>
  <si>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</si>
  <si>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</si>
  <si>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</si>
  <si>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</si>
  <si>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</si>
  <si>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</si>
  <si>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</si>
  <si>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</si>
  <si>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</si>
  <si>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</si>
  <si>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</si>
  <si>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</si>
  <si>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</si>
  <si>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</si>
  <si>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</si>
  <si>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</si>
  <si>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</si>
  <si>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</si>
  <si>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</si>
  <si>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</si>
  <si>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</si>
  <si>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</si>
  <si>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</si>
  <si>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</si>
  <si>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</si>
  <si>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</si>
  <si>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</si>
  <si>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</si>
  <si>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</si>
  <si>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</si>
  <si>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</si>
  <si>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</si>
  <si>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</si>
  <si>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</si>
  <si>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</si>
  <si>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</si>
  <si>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</si>
  <si>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</si>
  <si>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</si>
  <si>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</si>
  <si>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</si>
  <si>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</si>
  <si>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</si>
  <si>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</si>
  <si>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</si>
  <si>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</si>
  <si>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</si>
  <si>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</si>
  <si>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</si>
  <si>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</si>
  <si>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</si>
  <si>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</si>
  <si>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</si>
  <si>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</si>
  <si>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</si>
  <si>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</si>
  <si>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</si>
  <si>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</si>
  <si>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</si>
  <si>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</si>
  <si>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</si>
  <si>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</si>
  <si>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</si>
  <si>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</si>
  <si>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</si>
  <si>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</si>
  <si>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</si>
  <si>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</si>
  <si>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</si>
  <si>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</si>
  <si>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</si>
  <si>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</si>
  <si>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</si>
  <si>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</si>
  <si>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</si>
  <si>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</si>
  <si>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</si>
  <si>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</si>
  <si>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</si>
  <si>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</si>
  <si>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</si>
  <si>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</si>
  <si>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</si>
  <si>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</si>
  <si>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</si>
  <si>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</si>
  <si>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</si>
  <si>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</si>
  <si>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</si>
  <si>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</si>
  <si>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</si>
  <si>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</si>
  <si>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</si>
  <si>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</si>
  <si>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</si>
  <si>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</si>
  <si>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</si>
  <si>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</si>
  <si>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</si>
  <si>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</si>
  <si>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</si>
  <si>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</si>
  <si>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</si>
  <si>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</si>
  <si>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</si>
  <si>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</si>
  <si>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</si>
  <si>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</si>
  <si>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</si>
  <si>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</si>
  <si>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</si>
  <si>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</si>
  <si>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</si>
  <si>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</si>
  <si>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</si>
  <si>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</si>
  <si>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</si>
  <si>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</si>
  <si>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</si>
  <si>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</si>
  <si>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</si>
  <si>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</si>
  <si>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</si>
  <si>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</si>
  <si>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</si>
  <si>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</si>
  <si>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</si>
  <si>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</si>
  <si>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</si>
  <si>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</si>
  <si>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</si>
  <si>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</si>
  <si>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</si>
  <si>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</si>
  <si>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</si>
  <si>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</si>
  <si>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</si>
  <si>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</si>
  <si>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</si>
  <si>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</si>
  <si>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</si>
  <si>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</si>
  <si>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</si>
  <si>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</si>
  <si>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</si>
  <si>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</si>
  <si>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</si>
  <si>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</si>
  <si>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</si>
  <si>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</si>
  <si>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</si>
  <si>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</si>
  <si>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</si>
  <si>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</si>
  <si>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</si>
  <si>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</si>
  <si>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</si>
  <si>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</si>
  <si>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</si>
  <si>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</si>
  <si>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</si>
  <si>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</si>
  <si>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</si>
  <si>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</si>
  <si>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</si>
  <si>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</si>
  <si>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</si>
  <si>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</si>
  <si>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</si>
  <si>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</si>
  <si>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</si>
  <si>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</si>
  <si>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</si>
  <si>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</si>
  <si>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</si>
  <si>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</si>
  <si>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</si>
  <si>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</si>
  <si>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</si>
  <si>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</si>
  <si>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</si>
  <si>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</si>
  <si>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</si>
  <si>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</si>
  <si>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</si>
  <si>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</si>
  <si>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</si>
  <si>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</si>
  <si>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</si>
  <si>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</si>
  <si>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</si>
  <si>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</si>
  <si>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</si>
  <si>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</si>
  <si>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</si>
  <si>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</si>
  <si>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</si>
  <si>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</si>
  <si>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</si>
  <si>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</si>
  <si>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</si>
  <si>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</si>
  <si>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</si>
  <si>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</si>
  <si>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</si>
  <si>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</si>
  <si>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</si>
  <si>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</si>
  <si>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</si>
  <si>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</si>
  <si>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</si>
  <si>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</si>
  <si>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</si>
  <si>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</si>
  <si>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</si>
  <si>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</si>
  <si>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</si>
  <si>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</si>
  <si>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</si>
  <si>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</si>
  <si>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</si>
  <si>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</si>
  <si>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</si>
  <si>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</si>
  <si>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</si>
  <si>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</si>
  <si>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</si>
  <si>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</si>
  <si>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</si>
  <si>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</si>
  <si>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</si>
  <si>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</si>
  <si>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</si>
  <si>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</si>
  <si>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</si>
  <si>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</si>
  <si>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</si>
  <si>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</si>
  <si>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</si>
  <si>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</si>
  <si>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</si>
  <si>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</si>
  <si>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</si>
  <si>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</si>
  <si>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</si>
  <si>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</si>
  <si>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</si>
  <si>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</si>
  <si>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</si>
  <si>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</si>
  <si>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</si>
  <si>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</si>
  <si>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</si>
  <si>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</si>
  <si>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</si>
  <si>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</si>
  <si>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</si>
  <si>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</si>
  <si>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</si>
  <si>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</si>
  <si>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</si>
  <si>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</si>
  <si>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</si>
  <si>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</si>
  <si>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</si>
  <si>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</si>
  <si>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</si>
  <si>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</si>
  <si>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</si>
  <si>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</si>
  <si>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</si>
  <si>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</si>
  <si>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</si>
  <si>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</si>
  <si>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</si>
  <si>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</si>
  <si>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</si>
  <si>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</si>
  <si>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</si>
  <si>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</si>
  <si>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</si>
  <si>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</si>
  <si>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</si>
  <si>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</si>
  <si>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</si>
  <si>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</si>
  <si>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</si>
  <si>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</si>
  <si>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</si>
  <si>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</si>
  <si>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</si>
  <si>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</si>
  <si>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</si>
  <si>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</si>
  <si>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</si>
  <si>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</si>
  <si>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</si>
  <si>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</si>
  <si>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</si>
  <si>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</si>
  <si>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</si>
  <si>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</si>
  <si>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</si>
  <si>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</si>
  <si>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</si>
  <si>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</si>
  <si>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</si>
  <si>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</si>
  <si>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</si>
  <si>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</si>
  <si>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</si>
  <si>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</si>
  <si>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</si>
  <si>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</si>
  <si>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</si>
  <si>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</si>
  <si>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</si>
  <si>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</si>
  <si>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</si>
  <si>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</si>
  <si>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</si>
  <si>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</si>
  <si>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</si>
  <si>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</si>
  <si>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</si>
  <si>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</si>
  <si>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</si>
  <si>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</si>
  <si>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</si>
  <si>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</si>
  <si>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</si>
  <si>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</si>
  <si>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</si>
  <si>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</si>
  <si>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</si>
  <si>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</si>
  <si>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</si>
  <si>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</si>
  <si>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</si>
  <si>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</si>
  <si>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</si>
  <si>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</si>
  <si>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</si>
  <si>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</si>
  <si>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</si>
  <si>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</si>
  <si>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</si>
  <si>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</si>
  <si>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</si>
  <si>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</si>
  <si>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</si>
  <si>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</si>
  <si>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</si>
  <si>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</si>
  <si>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</si>
  <si>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</si>
  <si>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</si>
  <si>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</si>
  <si>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</si>
  <si>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</si>
  <si>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</si>
  <si>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</si>
  <si>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</si>
  <si>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</si>
  <si>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</si>
  <si>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</si>
  <si>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</si>
  <si>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</si>
  <si>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</si>
  <si>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</si>
  <si>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</si>
  <si>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</si>
  <si>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</si>
  <si>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</si>
  <si>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</si>
  <si>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</si>
  <si>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</si>
  <si>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</si>
  <si>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</si>
  <si>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</si>
  <si>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</si>
  <si>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</si>
  <si>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</si>
  <si>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</si>
  <si>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</si>
  <si>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</si>
  <si>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</si>
  <si>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</si>
  <si>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</si>
  <si>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</si>
  <si>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</si>
  <si>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</si>
  <si>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</si>
  <si>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</si>
  <si>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</si>
  <si>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</si>
  <si>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</si>
  <si>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</si>
  <si>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</si>
  <si>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</si>
  <si>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</si>
  <si>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</si>
  <si>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</si>
  <si>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</si>
  <si>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</si>
  <si>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</si>
  <si>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</si>
  <si>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</si>
  <si>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</si>
  <si>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</si>
  <si>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</si>
  <si>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</si>
  <si>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</si>
  <si>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</si>
  <si>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</si>
  <si>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</si>
  <si>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</si>
  <si>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</si>
  <si>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</si>
  <si>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</si>
  <si>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</si>
  <si>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</si>
  <si>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</si>
  <si>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</si>
  <si>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</si>
  <si>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</si>
  <si>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</si>
  <si>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</si>
  <si>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</si>
  <si>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</si>
  <si>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</si>
  <si>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</si>
  <si>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</si>
  <si>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</si>
  <si>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</si>
  <si>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</si>
  <si>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</si>
  <si>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</si>
  <si>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</si>
  <si>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</si>
  <si>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</si>
  <si>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</si>
  <si>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</si>
  <si>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</si>
  <si>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</si>
  <si>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</si>
  <si>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</si>
  <si>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</si>
  <si>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</si>
  <si>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</si>
  <si>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</si>
  <si>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</si>
  <si>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</si>
  <si>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</si>
  <si>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</si>
  <si>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</si>
  <si>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</si>
  <si>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</si>
  <si>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</si>
  <si>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</si>
  <si>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</si>
  <si>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</si>
  <si>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</si>
  <si>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</si>
  <si>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</si>
  <si>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</si>
  <si>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</si>
  <si>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</si>
  <si>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</si>
  <si>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</si>
  <si>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</si>
  <si>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</si>
  <si>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</si>
  <si>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</si>
  <si>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</si>
  <si>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</si>
  <si>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</si>
  <si>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</si>
  <si>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</si>
  <si>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</si>
  <si>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</si>
  <si>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</si>
  <si>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</si>
  <si>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</si>
  <si>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</si>
  <si>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</si>
  <si>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</si>
  <si>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</si>
  <si>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</si>
  <si>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</si>
  <si>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</si>
  <si>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</si>
  <si>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</si>
  <si>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</si>
  <si>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</si>
  <si>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</si>
  <si>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</si>
  <si>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</si>
  <si>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</si>
  <si>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</si>
  <si>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</si>
  <si>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</si>
  <si>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</si>
  <si>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</si>
  <si>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</si>
  <si>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</si>
  <si>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</si>
  <si>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</si>
  <si>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</si>
  <si>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</si>
  <si>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</si>
  <si>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</si>
  <si>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</si>
  <si>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</si>
  <si>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</si>
  <si>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</si>
  <si>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</si>
  <si>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</si>
  <si>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</si>
  <si>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</si>
  <si>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</si>
  <si>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</si>
  <si>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</si>
  <si>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</si>
  <si>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</si>
  <si>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</si>
  <si>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</si>
  <si>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</si>
  <si>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</si>
  <si>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</si>
  <si>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</si>
  <si>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</si>
  <si>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</si>
  <si>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</si>
  <si>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</si>
  <si>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</si>
  <si>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</si>
  <si>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</si>
  <si>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</si>
  <si>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</si>
  <si>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</si>
  <si>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</si>
  <si>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</si>
  <si>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</si>
  <si>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</si>
  <si>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</si>
  <si>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</si>
  <si>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</si>
  <si>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</si>
  <si>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</si>
  <si>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</si>
  <si>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</si>
  <si>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</si>
  <si>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</si>
  <si>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</si>
  <si>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</si>
  <si>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</si>
  <si>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</si>
  <si>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</si>
  <si>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</si>
  <si>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</si>
  <si>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</si>
  <si>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</si>
  <si>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</si>
  <si>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</si>
  <si>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</si>
  <si>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</si>
  <si>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</si>
  <si>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</si>
  <si>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</si>
  <si>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</si>
  <si>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</si>
  <si>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</si>
  <si>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</si>
  <si>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</si>
  <si>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</si>
  <si>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</si>
  <si>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</si>
  <si>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</si>
  <si>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</si>
  <si>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</si>
  <si>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</si>
  <si>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</si>
  <si>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</si>
  <si>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</si>
  <si>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</si>
  <si>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</si>
  <si>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</si>
  <si>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</si>
  <si>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</si>
  <si>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</si>
  <si>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</si>
  <si>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</si>
  <si>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</si>
  <si>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</si>
  <si>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</si>
  <si>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</si>
  <si>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</si>
  <si>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</si>
  <si>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</si>
  <si>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</si>
  <si>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</si>
  <si>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</si>
  <si>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</si>
  <si>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</si>
  <si>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</si>
  <si>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</si>
  <si>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</si>
  <si>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</si>
  <si>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</si>
  <si>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</si>
  <si>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</si>
  <si>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</si>
  <si>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</si>
  <si>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</si>
  <si>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</si>
  <si>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</si>
  <si>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</si>
  <si>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</si>
  <si>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</si>
  <si>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</si>
  <si>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</si>
  <si>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</si>
  <si>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</si>
  <si>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</si>
  <si>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</si>
  <si>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</si>
  <si>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</si>
  <si>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</si>
  <si>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</si>
  <si>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</si>
  <si>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</si>
  <si>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</si>
  <si>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</si>
  <si>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</si>
  <si>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</si>
  <si>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</si>
  <si>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</si>
  <si>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</si>
  <si>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</si>
  <si>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</si>
  <si>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</si>
  <si>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</si>
  <si>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</si>
  <si>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</si>
  <si>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</si>
  <si>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</si>
  <si>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</si>
  <si>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</si>
  <si>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</si>
  <si>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</si>
  <si>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</si>
  <si>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</si>
  <si>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</si>
  <si>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</si>
  <si>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</si>
  <si>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</si>
  <si>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</si>
  <si>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</si>
  <si>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</si>
  <si>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</si>
  <si>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</si>
  <si>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</si>
  <si>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</si>
  <si>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</si>
  <si>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</si>
  <si>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</si>
  <si>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</si>
  <si>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</si>
  <si>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</si>
  <si>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</si>
  <si>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</si>
  <si>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</si>
  <si>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</si>
  <si>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</si>
  <si>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</si>
  <si>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</si>
  <si>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</si>
  <si>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</si>
  <si>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</si>
  <si>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</si>
  <si>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</si>
  <si>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</si>
  <si>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</si>
  <si>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</si>
  <si>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</si>
  <si>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</si>
  <si>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</si>
  <si>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</si>
  <si>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</si>
  <si>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</si>
  <si>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</si>
  <si>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</si>
  <si>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</si>
  <si>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</si>
  <si>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</si>
  <si>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</si>
  <si>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</si>
  <si>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</si>
  <si>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</si>
  <si>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</si>
  <si>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</si>
  <si>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</si>
  <si>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</si>
  <si>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</si>
  <si>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</si>
  <si>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</si>
  <si>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</si>
  <si>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</si>
  <si>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</si>
  <si>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</si>
  <si>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</si>
  <si>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</si>
  <si>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</si>
  <si>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</si>
  <si>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</si>
  <si>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</si>
  <si>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</si>
  <si>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</si>
  <si>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</si>
  <si>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</si>
  <si>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</si>
  <si>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</si>
  <si>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</si>
  <si>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</si>
  <si>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</si>
  <si>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</si>
  <si>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</si>
  <si>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</si>
  <si>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</si>
  <si>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</si>
  <si>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</si>
  <si>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</si>
  <si>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</si>
  <si>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</si>
  <si>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</si>
  <si>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</si>
  <si>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</si>
  <si>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</si>
  <si>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</si>
  <si>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</si>
  <si>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</si>
  <si>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</si>
  <si>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</si>
  <si>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</si>
  <si>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</si>
  <si>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</si>
  <si>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</si>
  <si>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</si>
  <si>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</si>
  <si>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</si>
  <si>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</si>
  <si>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</si>
  <si>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</si>
  <si>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</si>
  <si>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</si>
  <si>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</si>
  <si>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</si>
  <si>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</si>
  <si>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</si>
  <si>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</si>
  <si>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</si>
  <si>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</si>
  <si>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</si>
  <si>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</si>
  <si>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</si>
  <si>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</si>
  <si>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</si>
  <si>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</si>
  <si>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</si>
  <si>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</si>
  <si>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</si>
  <si>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</si>
  <si>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</si>
  <si>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</si>
  <si>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</si>
  <si>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</si>
  <si>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</si>
  <si>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</si>
  <si>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</si>
  <si>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</si>
  <si>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</si>
  <si>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</si>
  <si>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</si>
  <si>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</si>
  <si>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</si>
  <si>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</si>
  <si>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</si>
  <si>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</si>
  <si>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</si>
  <si>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</si>
  <si>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</si>
  <si>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</si>
  <si>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</si>
  <si>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</si>
  <si>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</si>
  <si>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</si>
  <si>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</si>
  <si>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</si>
  <si>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</si>
  <si>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</si>
  <si>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</si>
  <si>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</si>
  <si>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</si>
  <si>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</si>
  <si>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</si>
  <si>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</si>
  <si>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</si>
  <si>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</si>
  <si>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</si>
  <si>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</si>
  <si>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</si>
  <si>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</si>
  <si>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</si>
  <si>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</si>
  <si>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</si>
  <si>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</si>
  <si>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</si>
  <si>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</si>
  <si>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</si>
  <si>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</si>
  <si>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</si>
  <si>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</si>
  <si>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</si>
  <si>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</si>
  <si>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</si>
  <si>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</si>
  <si>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</si>
  <si>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</si>
  <si>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</si>
  <si>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</si>
  <si>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</si>
  <si>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</si>
  <si>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</si>
  <si>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</si>
  <si>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</si>
  <si>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</si>
  <si>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</si>
  <si>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</si>
  <si>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</si>
  <si>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</si>
  <si>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</si>
  <si>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</si>
  <si>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</si>
  <si>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</si>
  <si>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</si>
  <si>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</si>
  <si>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</si>
  <si>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</si>
  <si>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</si>
  <si>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</si>
  <si>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</si>
  <si>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</si>
  <si>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</si>
  <si>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</si>
  <si>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</si>
  <si>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</si>
  <si>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</si>
  <si>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</si>
  <si>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</si>
  <si>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</si>
  <si>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</si>
  <si>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</si>
  <si>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</si>
  <si>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</si>
  <si>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</si>
  <si>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</si>
  <si>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</si>
  <si>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</si>
  <si>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</si>
  <si>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</si>
  <si>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</si>
  <si>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</si>
  <si>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</si>
  <si>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</si>
  <si>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</si>
  <si>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</si>
  <si>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</si>
  <si>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</si>
  <si>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</si>
  <si>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</si>
  <si>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</si>
  <si>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</si>
  <si>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</si>
  <si>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</si>
  <si>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</si>
  <si>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</si>
  <si>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</si>
  <si>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</si>
  <si>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</si>
  <si>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</si>
  <si>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</si>
  <si>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</si>
  <si>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</si>
  <si>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</si>
  <si>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</si>
  <si>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</si>
  <si>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</si>
  <si>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</si>
  <si>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</si>
  <si>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</si>
  <si>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</si>
  <si>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</si>
  <si>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</si>
  <si>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</si>
  <si>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</si>
  <si>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</si>
  <si>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</si>
  <si>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</si>
  <si>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</si>
  <si>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</si>
  <si>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</si>
  <si>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</si>
  <si>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</si>
  <si>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</si>
  <si>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</si>
  <si>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</si>
  <si>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</si>
  <si>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</si>
  <si>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</si>
  <si>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</si>
  <si>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</si>
  <si>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</si>
  <si>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</si>
  <si>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</si>
  <si>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</si>
  <si>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</si>
  <si>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</si>
  <si>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</si>
  <si>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</si>
  <si>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</si>
  <si>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</si>
  <si>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</si>
  <si>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</si>
  <si>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</si>
  <si>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</si>
  <si>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</si>
  <si>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</si>
  <si>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</si>
  <si>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</si>
  <si>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</si>
  <si>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</si>
  <si>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</si>
  <si>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</si>
  <si>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</si>
  <si>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</si>
  <si>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</si>
  <si>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</si>
  <si>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</si>
  <si>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</si>
  <si>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</si>
  <si>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</si>
  <si>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</si>
  <si>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</si>
  <si>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</si>
  <si>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</si>
  <si>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</si>
  <si>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</si>
  <si>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</si>
  <si>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</si>
  <si>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</si>
  <si>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</si>
  <si>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</si>
  <si>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</si>
  <si>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</si>
  <si>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</si>
  <si>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</si>
  <si>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</si>
  <si>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</si>
  <si>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</si>
  <si>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</si>
  <si>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</si>
  <si>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</si>
  <si>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</si>
  <si>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</si>
  <si>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</si>
  <si>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</si>
  <si>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</si>
  <si>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</si>
  <si>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</si>
  <si>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</si>
  <si>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</si>
  <si>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</si>
  <si>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</si>
  <si>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</si>
  <si>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</si>
  <si>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</si>
  <si>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</si>
  <si>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</si>
  <si>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</si>
  <si>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</si>
  <si>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</si>
  <si>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</si>
  <si>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</si>
  <si>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</si>
  <si>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</si>
  <si>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</si>
  <si>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</si>
  <si>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</si>
  <si>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</si>
  <si>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</si>
  <si>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</si>
  <si>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</si>
  <si>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</si>
  <si>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</si>
  <si>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</si>
  <si>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</si>
  <si>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</si>
  <si>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</si>
  <si>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</si>
  <si>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</si>
  <si>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</si>
  <si>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</si>
  <si>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</si>
  <si>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</si>
  <si>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</si>
  <si>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</si>
  <si>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</si>
  <si>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</si>
  <si>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</si>
  <si>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</si>
  <si>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</si>
  <si>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</si>
  <si>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</si>
  <si>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</si>
  <si>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</si>
  <si>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</si>
  <si>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</si>
  <si>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</si>
  <si>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</si>
  <si>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</si>
  <si>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</si>
  <si>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</si>
  <si>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</si>
  <si>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</si>
  <si>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</si>
  <si>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</si>
  <si>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</si>
  <si>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</si>
  <si>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</si>
  <si>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</si>
  <si>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</si>
  <si>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</si>
  <si>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</si>
  <si>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</si>
  <si>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</si>
  <si>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</si>
  <si>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</si>
  <si>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</si>
  <si>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</si>
  <si>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</si>
  <si>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</si>
  <si>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</si>
  <si>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</si>
  <si>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</si>
  <si>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</si>
  <si>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</si>
  <si>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</si>
  <si>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</si>
  <si>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</si>
  <si>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</si>
  <si>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</si>
  <si>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</si>
  <si>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</si>
  <si>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</si>
  <si>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</si>
  <si>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</si>
  <si>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</si>
  <si>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</si>
  <si>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</si>
  <si>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</si>
  <si>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</si>
  <si>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</si>
  <si>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</si>
  <si>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</si>
  <si>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</si>
  <si>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</si>
  <si>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</si>
  <si>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</si>
  <si>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</si>
  <si>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</si>
  <si>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</si>
  <si>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</si>
  <si>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</si>
  <si>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</si>
  <si>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</si>
  <si>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</si>
  <si>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</si>
  <si>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</si>
  <si>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</si>
  <si>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</si>
  <si>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</si>
  <si>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</si>
  <si>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</si>
  <si>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</si>
  <si>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</si>
  <si>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</si>
  <si>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</si>
  <si>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</si>
  <si>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</si>
  <si>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</si>
  <si>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</si>
  <si>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</si>
  <si>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</si>
  <si>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</si>
  <si>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</si>
  <si>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</si>
  <si>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</si>
  <si>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</si>
  <si>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</si>
  <si>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</si>
  <si>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</si>
  <si>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</si>
  <si>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</si>
  <si>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</si>
  <si>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</si>
  <si>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</si>
  <si>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</si>
  <si>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</si>
  <si>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</si>
  <si>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</si>
  <si>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</si>
  <si>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</si>
  <si>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</si>
  <si>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</si>
  <si>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</si>
  <si>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</si>
  <si>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</si>
  <si>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</si>
  <si>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</si>
  <si>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</si>
  <si>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</si>
  <si>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</si>
  <si>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</si>
  <si>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</si>
  <si>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</si>
  <si>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</si>
  <si>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</si>
  <si>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</si>
  <si>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</si>
  <si>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</si>
  <si>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</si>
  <si>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</si>
  <si>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</si>
  <si>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</si>
  <si>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</si>
  <si>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</si>
  <si>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</si>
  <si>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</si>
  <si>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</si>
  <si>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</si>
  <si>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</si>
  <si>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</si>
  <si>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</si>
  <si>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</si>
  <si>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</si>
  <si>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</si>
  <si>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</si>
  <si>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</si>
  <si>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</si>
  <si>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</si>
  <si>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</si>
  <si>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</si>
  <si>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</si>
  <si>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</si>
  <si>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</si>
  <si>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</si>
  <si>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</si>
  <si>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</si>
  <si>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</si>
  <si>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</si>
  <si>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</si>
  <si>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</si>
  <si>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</si>
  <si>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</si>
  <si>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</si>
  <si>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</si>
  <si>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</si>
  <si>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</si>
  <si>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</si>
  <si>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</si>
  <si>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</si>
  <si>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</si>
  <si>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</si>
  <si>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</si>
  <si>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</si>
  <si>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</si>
  <si>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</si>
  <si>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</si>
  <si>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</si>
  <si>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</si>
  <si>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</si>
  <si>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</si>
  <si>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</si>
  <si>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</si>
  <si>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</si>
  <si>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</si>
  <si>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</si>
  <si>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</si>
  <si>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</si>
  <si>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</si>
  <si>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</si>
  <si>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</si>
  <si>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</si>
  <si>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</si>
  <si>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</si>
  <si>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</si>
  <si>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</si>
  <si>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</si>
  <si>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</si>
  <si>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</si>
  <si>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</si>
  <si>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</si>
  <si>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</si>
  <si>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</si>
  <si>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</si>
  <si>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</si>
  <si>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</si>
  <si>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</si>
  <si>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</si>
  <si>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</si>
  <si>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</si>
  <si>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</si>
  <si>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</si>
  <si>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</si>
  <si>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</si>
  <si>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</si>
  <si>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</si>
  <si>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</si>
  <si>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</si>
  <si>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</si>
  <si>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</si>
  <si>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</si>
  <si>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</si>
  <si>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</si>
  <si>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</si>
  <si>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</si>
  <si>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</si>
  <si>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</si>
  <si>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</si>
  <si>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</si>
  <si>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</si>
  <si>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</si>
  <si>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</si>
  <si>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</si>
  <si>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</si>
  <si>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</si>
  <si>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</si>
  <si>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</si>
  <si>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</si>
  <si>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</si>
  <si>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</si>
  <si>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</si>
  <si>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</si>
  <si>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</si>
  <si>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</si>
  <si>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</si>
  <si>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</si>
  <si>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</si>
  <si>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</si>
  <si>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</si>
  <si>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</si>
  <si>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</si>
  <si>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</si>
  <si>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</si>
  <si>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</si>
  <si>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</si>
  <si>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</si>
  <si>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</si>
  <si>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</si>
  <si>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</si>
  <si>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</si>
  <si>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</si>
  <si>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</si>
  <si>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</si>
  <si>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</si>
  <si>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</si>
  <si>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</si>
  <si>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</si>
  <si>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</si>
  <si>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</si>
  <si>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</si>
  <si>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</si>
  <si>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</si>
  <si>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</si>
  <si>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</si>
  <si>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</si>
  <si>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</si>
  <si>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</si>
  <si>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</si>
  <si>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</si>
  <si>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</si>
  <si>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</si>
  <si>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</si>
  <si>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</si>
  <si>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</si>
  <si>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</si>
  <si>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</si>
  <si>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</si>
  <si>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</si>
  <si>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</si>
  <si>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</si>
  <si>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</si>
  <si>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</si>
  <si>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</si>
  <si>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</si>
  <si>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</si>
  <si>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</si>
  <si>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</si>
  <si>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</si>
  <si>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</si>
  <si>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</si>
  <si>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</si>
  <si>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</si>
  <si>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</si>
  <si>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</si>
  <si>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</si>
  <si>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</si>
  <si>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</si>
  <si>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</si>
  <si>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</si>
  <si>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</si>
  <si>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</si>
  <si>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</si>
  <si>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</si>
  <si>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</si>
  <si>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</si>
  <si>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</si>
  <si>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</si>
  <si>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</si>
  <si>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</si>
  <si>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</si>
  <si>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</si>
  <si>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</si>
  <si>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</si>
  <si>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</si>
  <si>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</si>
  <si>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</si>
  <si>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</si>
  <si>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</si>
  <si>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</si>
  <si>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</si>
  <si>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</si>
  <si>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</si>
  <si>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</si>
  <si>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</si>
  <si>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</si>
  <si>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</si>
  <si>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</si>
  <si>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</si>
  <si>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</si>
  <si>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</si>
  <si>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</si>
  <si>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</si>
  <si>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</si>
  <si>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</si>
  <si>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</si>
  <si>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</si>
  <si>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</si>
  <si>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</si>
  <si>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</si>
  <si>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</si>
  <si>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</si>
  <si>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</si>
  <si>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</si>
  <si>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</si>
  <si>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</si>
  <si>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</si>
  <si>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</si>
  <si>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</si>
  <si>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</si>
  <si>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</si>
  <si>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</si>
  <si>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</si>
  <si>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</si>
  <si>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</si>
  <si>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</si>
  <si>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</si>
  <si>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</si>
  <si>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</si>
  <si>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</si>
  <si>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</si>
  <si>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</si>
  <si>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</si>
  <si>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</si>
  <si>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</si>
  <si>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</si>
  <si>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</si>
  <si>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</si>
  <si>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</si>
  <si>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</si>
  <si>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</si>
  <si>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</si>
  <si>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</si>
  <si>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</si>
  <si>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</si>
  <si>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</si>
  <si>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</si>
  <si>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</si>
  <si>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</si>
  <si>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</si>
  <si>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</si>
  <si>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</si>
  <si>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</si>
  <si>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</si>
  <si>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</si>
  <si>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</si>
  <si>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</si>
  <si>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</si>
  <si>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</si>
  <si>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</si>
  <si>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</si>
  <si>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</si>
  <si>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</si>
  <si>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</si>
  <si>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</si>
  <si>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</si>
  <si>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</si>
  <si>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</si>
  <si>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</si>
  <si>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</si>
  <si>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</si>
  <si>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</si>
  <si>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</si>
  <si>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</si>
  <si>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</si>
  <si>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</si>
  <si>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</si>
  <si>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</si>
  <si>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</si>
  <si>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</si>
  <si>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</si>
  <si>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</si>
  <si>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</si>
  <si>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</si>
  <si>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</si>
  <si>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</si>
  <si>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</si>
  <si>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</si>
  <si>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</si>
  <si>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</si>
  <si>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</si>
  <si>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</si>
  <si>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</si>
  <si>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</si>
  <si>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</si>
  <si>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</si>
  <si>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</si>
  <si>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</si>
  <si>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</si>
  <si>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</si>
  <si>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</si>
  <si>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</si>
  <si>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</si>
  <si>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</si>
  <si>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</si>
  <si>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</si>
  <si>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</si>
  <si>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</si>
  <si>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</si>
  <si>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</si>
  <si>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</si>
  <si>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</si>
  <si>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</si>
  <si>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</si>
  <si>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</si>
  <si>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</si>
  <si>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</si>
  <si>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</si>
  <si>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</si>
  <si>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</si>
  <si>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</si>
  <si>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</si>
  <si>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</si>
  <si>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</si>
  <si>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</si>
  <si>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</si>
  <si>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</si>
  <si>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</si>
  <si>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</si>
  <si>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</si>
  <si>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</si>
  <si>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</si>
  <si>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</si>
  <si>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</si>
  <si>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</si>
  <si>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측위엔진 아키텍쳐 문서</t>
  </si>
  <si>
    <t>SDK 구성 설계서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</si>
  <si>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</si>
  <si>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</si>
  <si>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</si>
  <si>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</si>
  <si>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</si>
  <si>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</si>
  <si>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</si>
  <si>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시스템 아키텍처 설계서</t>
  </si>
  <si>
    <t>융합측위 설계서</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</si>
  <si>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</si>
  <si>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</si>
  <si>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</si>
  <si>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</si>
  <si>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</si>
  <si>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</si>
  <si>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</si>
  <si>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</si>
  <si>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</si>
  <si>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</si>
  <si>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</si>
  <si>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</si>
  <si>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</si>
  <si>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</si>
  <si>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</si>
  <si>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</si>
  <si>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</si>
  <si>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</si>
  <si>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</si>
  <si>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</si>
  <si>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</si>
  <si>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</si>
  <si>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</si>
  <si>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</si>
  <si>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</si>
  <si>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</si>
  <si>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</si>
  <si>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</si>
  <si>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</si>
  <si>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</si>
  <si>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</si>
  <si>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</si>
  <si>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</si>
  <si>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</si>
  <si>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</si>
  <si>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</si>
  <si>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</si>
  <si>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</si>
  <si>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</si>
  <si>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</si>
  <si>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</si>
  <si>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</si>
  <si>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</si>
  <si>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</si>
  <si>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</si>
  <si>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</si>
  <si>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</si>
  <si>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</si>
  <si>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</si>
  <si>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</si>
  <si>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</si>
  <si>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</si>
  <si>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</si>
  <si>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</si>
  <si>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</si>
  <si>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</si>
  <si>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</si>
  <si>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</si>
  <si>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</si>
  <si>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</si>
  <si>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</si>
  <si>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</si>
  <si>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</si>
  <si>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</si>
  <si>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</si>
  <si>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</si>
  <si>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</si>
  <si>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</si>
  <si>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</si>
  <si>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</si>
  <si>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</si>
  <si>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</si>
  <si>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</si>
  <si>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</si>
  <si>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</si>
  <si>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</si>
  <si>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</si>
  <si>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</si>
  <si>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</si>
  <si>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</si>
  <si>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</si>
  <si>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</si>
  <si>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</si>
  <si>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</si>
  <si>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</si>
  <si>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</si>
  <si>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</si>
  <si>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</si>
  <si>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</si>
  <si>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</si>
  <si>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</si>
  <si>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</si>
  <si>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</si>
  <si>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</si>
  <si>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</si>
  <si>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</si>
  <si>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</si>
  <si>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</si>
  <si>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</si>
  <si>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</si>
  <si>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</si>
  <si>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</si>
  <si>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</si>
  <si>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</si>
  <si>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</si>
  <si>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</si>
  <si>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</si>
  <si>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</si>
  <si>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</si>
  <si>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</si>
  <si>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</si>
  <si>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</si>
  <si>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</si>
  <si>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</si>
  <si>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</si>
  <si>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</si>
  <si>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</si>
  <si>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</si>
  <si>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</si>
  <si>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</si>
  <si>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</si>
  <si>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</si>
  <si>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</si>
  <si>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</si>
  <si>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</si>
  <si>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</si>
  <si>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</si>
  <si>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</si>
  <si>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</si>
  <si>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</si>
  <si>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</si>
  <si>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</si>
  <si>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</si>
  <si>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</si>
  <si>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</si>
  <si>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</si>
  <si>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</si>
  <si>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</si>
  <si>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</si>
  <si>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</si>
  <si>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</si>
  <si>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</si>
  <si>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</si>
  <si>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</si>
  <si>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</si>
  <si>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</si>
  <si>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</si>
  <si>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</si>
  <si>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</si>
  <si>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</si>
  <si>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</si>
  <si>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</si>
  <si>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</si>
  <si>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</si>
  <si>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</si>
  <si>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</si>
  <si>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온톨로지 DB v0.1</t>
  </si>
  <si>
    <t>온톨로지 DB v0.5</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</si>
  <si>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</si>
  <si>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</si>
  <si>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</si>
  <si>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</si>
  <si>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</si>
  <si>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</si>
  <si>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</si>
  <si>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</si>
  <si>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</si>
  <si>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</si>
  <si>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</si>
  <si>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</si>
  <si>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</si>
  <si>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</si>
  <si>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</si>
  <si>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</si>
  <si>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</si>
  <si>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</si>
  <si>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</si>
  <si>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</si>
  <si>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</si>
  <si>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</si>
  <si>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</si>
  <si>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</si>
  <si>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</si>
  <si>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</si>
  <si>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</si>
  <si>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</si>
  <si>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</si>
  <si>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</si>
  <si>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</si>
  <si>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</si>
  <si>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</si>
  <si>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</si>
  <si>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</si>
  <si>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</si>
  <si>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</si>
  <si>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</si>
  <si>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</si>
  <si>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</si>
  <si>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</si>
  <si>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</si>
  <si>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</si>
  <si>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</si>
  <si>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</si>
  <si>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</si>
  <si>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</si>
  <si>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</si>
  <si>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</si>
  <si>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</si>
  <si>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</si>
  <si>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</si>
  <si>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</si>
  <si>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</si>
  <si>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</si>
  <si>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</si>
  <si>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</si>
  <si>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</si>
  <si>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</si>
  <si>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</si>
  <si>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</si>
  <si>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</si>
  <si>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</si>
  <si>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</si>
  <si>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</si>
  <si>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</si>
  <si>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</si>
  <si>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</si>
  <si>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</si>
  <si>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</si>
  <si>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</si>
  <si>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</si>
  <si>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</si>
  <si>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</si>
  <si>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</si>
  <si>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</si>
  <si>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</si>
  <si>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</si>
  <si>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</si>
  <si>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</si>
  <si>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</si>
  <si>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</si>
  <si>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</si>
  <si>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</si>
  <si>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1.3.5</t>
  </si>
  <si>
    <t>1.3.6</t>
  </si>
  <si>
    <t>1.3.7</t>
  </si>
  <si>
    <t>1.5.3</t>
  </si>
  <si>
    <t>1.8</t>
  </si>
  <si>
    <t>1.8.1</t>
  </si>
  <si>
    <t>1.8.2</t>
  </si>
  <si>
    <t>4.2.2</t>
  </si>
  <si>
    <t>컨셉영상 1식</t>
  </si>
  <si>
    <t>컨셉영상 제작</t>
  </si>
  <si>
    <t>요구사항정의서
데이터 수집 프로토콜 1식</t>
  </si>
  <si>
    <t>데이터 흐름·인터페이스 정의</t>
  </si>
  <si>
    <t>인터페이스 정의서</t>
  </si>
  <si>
    <t>2.4.5</t>
  </si>
  <si>
    <t>온톨로지 v1.0 확정</t>
  </si>
  <si>
    <t>온톨로지 DB v1.0</t>
  </si>
  <si>
    <t>전문가 자문 검증</t>
  </si>
  <si>
    <t>전문가 자문 결과보고서</t>
  </si>
  <si>
    <t>전남대</t>
  </si>
  <si>
    <t>파모즈/전남대</t>
  </si>
  <si>
    <t>요구사항 정의서</t>
  </si>
  <si>
    <t>전남대학교병원</t>
  </si>
  <si>
    <t>중간보고서</t>
  </si>
  <si>
    <t>결과보고서</t>
  </si>
  <si>
    <t>착수보고서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</si>
</sst>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7">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
      <sz val="8"/>
      <color rgb="FFFF0000"/>
      <name val="맑은 고딕"/>
      <family val="3"/>
      <charset val="129"/>
      <scheme val="minor"/>
    </font>
    <font>
      <sz val="9"/>
      <color rgb="FF0000FF"/>
      <name val="맑은 고딕"/>
      <family val="3"/>
      <charset val="129"/>
      <scheme val="minor"/>
    </font>
    <font>
      <sz val="8"/>
      <color rgb="FF0000FF"/>
      <name val="맑은 고딕"/>
      <family val="3"/>
      <charset val="129"/>
      <scheme val="minor"/>
    </font>
  </fonts>
  <fills count="28">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
      <patternFill patternType="solid">
        <fgColor theme="5"/>
        <bgColor indexed="64"/>
      </patternFill>
    </fill>
    <fill>
      <patternFill patternType="solid">
        <fgColor theme="4"/>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31">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xf numFmtId="10" fontId="7" fillId="0" borderId="0" xfId="0" applyNumberFormat="1" applyFont="1"/>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70" fillId="22" borderId="23" xfId="3" applyFont="1" applyFill="1" applyBorder="1" applyAlignment="1" applyProtection="1">
      <alignment horizontal="center" vertical="center"/>
      <protection locked="0"/>
    </xf>
    <xf numFmtId="0" fontId="18" fillId="0" borderId="23" xfId="5" applyFont="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Border="1" applyAlignment="1" applyProtection="1">
      <alignment horizontal="center" vertical="center"/>
      <protection locked="0"/>
    </xf>
    <xf numFmtId="0" fontId="70" fillId="22" borderId="23" xfId="4" applyFont="1" applyFill="1" applyBorder="1" applyAlignment="1" applyProtection="1">
      <alignment vertical="center" wrapText="1"/>
      <protection locked="0"/>
    </xf>
    <xf numFmtId="0" fontId="1" fillId="0" borderId="23" xfId="4" applyFont="1" applyBorder="1" applyAlignment="1" applyProtection="1">
      <alignment vertical="center" wrapText="1"/>
      <protection locked="0"/>
    </xf>
    <xf numFmtId="0" fontId="1" fillId="0" borderId="23" xfId="4" applyFont="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70" fillId="22"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73" fillId="0" borderId="23" xfId="4" applyFont="1" applyBorder="1" applyAlignment="1" applyProtection="1">
      <alignment horizontal="center" vertical="center" wrapText="1"/>
      <protection locked="0"/>
    </xf>
    <xf numFmtId="0" fontId="70" fillId="23" borderId="23" xfId="0" applyFont="1" applyFill="1" applyBorder="1" applyAlignment="1">
      <alignment vertical="center" wrapText="1"/>
    </xf>
    <xf numFmtId="0" fontId="70" fillId="23" borderId="23" xfId="0" applyFont="1" applyFill="1" applyBorder="1" applyAlignment="1">
      <alignment horizontal="center" vertical="center" wrapText="1"/>
    </xf>
    <xf numFmtId="0" fontId="1" fillId="0" borderId="23" xfId="0" applyFont="1" applyBorder="1" applyAlignment="1">
      <alignment horizontal="center" vertical="center"/>
    </xf>
    <xf numFmtId="0" fontId="70" fillId="0" borderId="23" xfId="3" applyFont="1" applyBorder="1" applyAlignment="1" applyProtection="1">
      <alignment horizontal="center" vertical="center"/>
      <protection locked="0"/>
    </xf>
    <xf numFmtId="0" fontId="70" fillId="0" borderId="23" xfId="4" applyFont="1" applyBorder="1" applyAlignment="1" applyProtection="1">
      <alignment horizontal="center" vertical="center"/>
      <protection locked="0"/>
    </xf>
    <xf numFmtId="0" fontId="70" fillId="0" borderId="23" xfId="0" applyFont="1" applyBorder="1" applyAlignment="1">
      <alignment horizontal="center" vertical="center"/>
    </xf>
    <xf numFmtId="14" fontId="46" fillId="17" borderId="27" xfId="0" applyNumberFormat="1" applyFont="1" applyFill="1" applyBorder="1" applyAlignment="1">
      <alignment horizontal="center" vertical="center"/>
    </xf>
    <xf numFmtId="0" fontId="73" fillId="0" borderId="23" xfId="0" applyFont="1" applyBorder="1" applyAlignment="1">
      <alignment vertical="center" wrapText="1"/>
    </xf>
    <xf numFmtId="10" fontId="18" fillId="24" borderId="23" xfId="2" applyNumberFormat="1" applyFont="1" applyFill="1" applyBorder="1" applyAlignment="1" applyProtection="1">
      <alignment horizontal="right" vertical="top"/>
      <protection locked="0"/>
    </xf>
    <xf numFmtId="10" fontId="58" fillId="24" borderId="23" xfId="2" applyNumberFormat="1" applyFont="1" applyFill="1" applyBorder="1" applyAlignment="1" applyProtection="1">
      <alignment horizontal="right" vertical="top" wrapText="1"/>
      <protection locked="0"/>
    </xf>
    <xf numFmtId="10" fontId="58" fillId="24"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wrapText="1"/>
      <protection locked="0"/>
    </xf>
    <xf numFmtId="0" fontId="76" fillId="0" borderId="23" xfId="4" applyFont="1" applyBorder="1" applyAlignment="1" applyProtection="1">
      <alignment horizontal="center" vertical="center" wrapText="1"/>
      <protection locked="0"/>
    </xf>
    <xf numFmtId="0" fontId="66" fillId="0" borderId="23" xfId="0" applyFont="1" applyBorder="1" applyAlignment="1" applyProtection="1">
      <alignment horizontal="left" vertical="top"/>
      <protection locked="0"/>
    </xf>
    <xf numFmtId="0" fontId="66" fillId="0" borderId="23" xfId="0" applyFont="1" applyBorder="1" applyAlignment="1" applyProtection="1">
      <alignment horizontal="left" vertical="center"/>
      <protection locked="0"/>
    </xf>
    <xf numFmtId="0" fontId="74" fillId="0" borderId="23" xfId="4" applyFont="1" applyBorder="1" applyAlignment="1" applyProtection="1">
      <alignment vertical="center" wrapText="1"/>
      <protection locked="0"/>
    </xf>
    <xf numFmtId="0" fontId="76" fillId="0" borderId="23" xfId="0" applyFont="1" applyBorder="1" applyAlignment="1">
      <alignment horizontal="center" vertical="center" wrapText="1"/>
    </xf>
    <xf numFmtId="0" fontId="58" fillId="22" borderId="23" xfId="0" applyFont="1" applyFill="1" applyBorder="1" applyAlignment="1" applyProtection="1">
      <alignment horizontal="left" vertical="center"/>
      <protection locked="0"/>
    </xf>
    <xf numFmtId="10" fontId="58" fillId="19" borderId="23" xfId="2" applyNumberFormat="1" applyFont="1" applyFill="1" applyBorder="1" applyAlignment="1" applyProtection="1">
      <alignment horizontal="right" vertical="top" wrapText="1"/>
      <protection locked="0"/>
    </xf>
    <xf numFmtId="0" fontId="74" fillId="0" borderId="23" xfId="4" applyFont="1" applyBorder="1" applyAlignment="1" applyProtection="1">
      <alignment horizontal="center" vertical="center" wrapText="1"/>
      <protection locked="0"/>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31" fillId="17" borderId="27" xfId="0" applyFont="1" applyFill="1" applyBorder="1" applyAlignment="1">
      <alignment horizontal="left" vertical="center"/>
    </xf>
    <xf numFmtId="0" fontId="31" fillId="17" borderId="25" xfId="0" applyFont="1" applyFill="1" applyBorder="1" applyAlignment="1">
      <alignment horizontal="left" vertical="center" wrapText="1"/>
    </xf>
    <xf numFmtId="0" fontId="58" fillId="22" borderId="23" xfId="0" applyFont="1" applyFill="1" applyBorder="1" applyAlignment="1" applyProtection="1">
      <alignment horizontal="left" vertical="center"/>
      <protection locked="0"/>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17" fillId="7" borderId="2" xfId="0" applyFont="1" applyFill="1" applyBorder="1" applyAlignment="1">
      <alignment horizontal="center" vertical="center"/>
    </xf>
    <xf numFmtId="0" fontId="17" fillId="16" borderId="2" xfId="0" applyFont="1" applyFill="1" applyBorder="1" applyAlignment="1">
      <alignment horizontal="center" vertical="center"/>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27" fillId="13" borderId="0" xfId="0" applyFont="1" applyFill="1" applyAlignment="1">
      <alignment horizontal="left" vertical="top"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0" fontId="1" fillId="19" borderId="23" xfId="0" applyFont="1" applyFill="1" applyBorder="1" applyAlignment="1">
      <alignment horizontal="center" vertical="center"/>
    </xf>
    <xf numFmtId="0" fontId="1" fillId="19" borderId="23" xfId="4" applyFont="1" applyFill="1" applyBorder="1" applyAlignment="1" applyProtection="1">
      <alignment horizontal="center" vertical="center"/>
      <protection locked="0"/>
    </xf>
    <xf numFmtId="182" fontId="68" fillId="25" borderId="23" xfId="0" applyNumberFormat="1" applyFont="1" applyFill="1" applyBorder="1" applyAlignment="1">
      <alignment horizontal="center" vertical="center"/>
    </xf>
    <xf numFmtId="0" fontId="73" fillId="25" borderId="23" xfId="0" applyFont="1" applyFill="1" applyBorder="1" applyAlignment="1">
      <alignment vertical="center" wrapText="1"/>
    </xf>
    <xf numFmtId="181" fontId="68" fillId="25" borderId="23" xfId="2" applyNumberFormat="1" applyFont="1" applyFill="1" applyBorder="1" applyAlignment="1">
      <alignment horizontal="center" vertical="center"/>
    </xf>
    <xf numFmtId="0" fontId="18" fillId="26" borderId="23" xfId="0" applyFont="1" applyFill="1" applyBorder="1" applyAlignment="1" applyProtection="1">
      <alignment horizontal="left" vertical="top"/>
      <protection locked="0"/>
    </xf>
    <xf numFmtId="0" fontId="18" fillId="26" borderId="23" xfId="0" applyFont="1" applyFill="1" applyBorder="1" applyAlignment="1" applyProtection="1">
      <alignment horizontal="left" vertical="center"/>
      <protection locked="0"/>
    </xf>
    <xf numFmtId="0" fontId="1" fillId="26" borderId="23" xfId="4" applyFont="1" applyFill="1" applyBorder="1" applyAlignment="1" applyProtection="1">
      <alignment vertical="center" wrapText="1"/>
      <protection locked="0"/>
    </xf>
    <xf numFmtId="0" fontId="18" fillId="26" borderId="23" xfId="0" applyFont="1" applyFill="1" applyBorder="1" applyAlignment="1">
      <alignment horizontal="left" vertical="center"/>
    </xf>
    <xf numFmtId="0" fontId="16" fillId="26" borderId="23" xfId="0" applyFont="1" applyFill="1" applyBorder="1" applyAlignment="1">
      <alignment horizontal="left"/>
    </xf>
    <xf numFmtId="0" fontId="1" fillId="26" borderId="23" xfId="0" applyFont="1" applyFill="1" applyBorder="1" applyAlignment="1">
      <alignment vertical="center" wrapText="1"/>
    </xf>
    <xf numFmtId="182" fontId="68" fillId="27" borderId="23" xfId="0" applyNumberFormat="1" applyFont="1" applyFill="1" applyBorder="1" applyAlignment="1">
      <alignment horizontal="center" vertical="center"/>
    </xf>
  </cellXfs>
  <cellStyles count="6">
    <cellStyle name="백분율" xfId="2" builtinId="5"/>
    <cellStyle name="표준" xfId="0" builtinId="0"/>
    <cellStyle name="표준 2" xfId="5" xr:uid="{00000000-0005-0000-0000-000002000000}"/>
    <cellStyle name="표준 6" xfId="3" xr:uid="{00000000-0005-0000-0000-000003000000}"/>
    <cellStyle name="표준_진료지원_1" xfId="4" xr:uid="{00000000-0005-0000-0000-000004000000}"/>
    <cellStyle name="하이퍼링크" xfId="1" builtinId="8"/>
  </cellStyles>
  <dxfs count="3">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s>
  <tableStyles count="0" defaultTableStyle="TableStyleMedium2" defaultPivotStyle="PivotStyleLight16"/>
  <colors>
    <mruColors>
      <color rgb="FF0000FF"/>
      <color rgb="FF2592FF"/>
      <color rgb="FF009900"/>
      <color rgb="FFFFFF99"/>
      <color rgb="FF7F7F7F"/>
      <color rgb="FFFF8800"/>
      <color rgb="FFFF0000"/>
      <color rgb="FFFF6600"/>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39277" name="꺾인 연결선 39276">
          <a:extLst>
            <a:ext uri="{FF2B5EF4-FFF2-40B4-BE49-F238E27FC236}">
              <a16:creationId xmlns:a16="http://schemas.microsoft.com/office/drawing/2014/main" id="{00000000-0008-0000-0100-00006D990000}"/>
            </a:ext>
          </a:extLst>
        </xdr:cNvPr>
        <xdr:cNvCxnSpPr>
          <a:stCxn id="39223" idx="3"/>
          <a:endCxn id="39221" idx="1"/>
        </xdr:cNvCxnSpPr>
      </xdr:nvCxnSpPr>
      <xdr:spPr>
        <a:xfrm>
          <a:off x="9573895" y="5981700"/>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102</xdr:row>
      <xdr:rowOff>0</xdr:rowOff>
    </xdr:to>
    <xdr:cxnSp macro="">
      <xdr:nvCxnSpPr>
        <xdr:cNvPr id="39075" name="직선 화살표 연결선 39074">
          <a:extLst>
            <a:ext uri="{FF2B5EF4-FFF2-40B4-BE49-F238E27FC236}">
              <a16:creationId xmlns:a16="http://schemas.microsoft.com/office/drawing/2014/main" id="{00000000-0008-0000-0100-0000A3980000}"/>
            </a:ext>
          </a:extLst>
        </xdr:cNvPr>
        <xdr:cNvCxnSpPr/>
      </xdr:nvCxnSpPr>
      <xdr:spPr>
        <a:xfrm>
          <a:off x="3056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102</xdr:row>
      <xdr:rowOff>0</xdr:rowOff>
    </xdr:to>
    <xdr:cxnSp macro="">
      <xdr:nvCxnSpPr>
        <xdr:cNvPr id="39076" name="직선 화살표 연결선 39075">
          <a:extLst>
            <a:ext uri="{FF2B5EF4-FFF2-40B4-BE49-F238E27FC236}">
              <a16:creationId xmlns:a16="http://schemas.microsoft.com/office/drawing/2014/main" id="{00000000-0008-0000-0100-0000A4980000}"/>
            </a:ext>
          </a:extLst>
        </xdr:cNvPr>
        <xdr:cNvCxnSpPr/>
      </xdr:nvCxnSpPr>
      <xdr:spPr>
        <a:xfrm>
          <a:off x="5190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102</xdr:row>
      <xdr:rowOff>0</xdr:rowOff>
    </xdr:to>
    <xdr:cxnSp macro="">
      <xdr:nvCxnSpPr>
        <xdr:cNvPr id="39077" name="직선 화살표 연결선 39076">
          <a:extLst>
            <a:ext uri="{FF2B5EF4-FFF2-40B4-BE49-F238E27FC236}">
              <a16:creationId xmlns:a16="http://schemas.microsoft.com/office/drawing/2014/main" id="{00000000-0008-0000-0100-0000A5980000}"/>
            </a:ext>
          </a:extLst>
        </xdr:cNvPr>
        <xdr:cNvCxnSpPr/>
      </xdr:nvCxnSpPr>
      <xdr:spPr>
        <a:xfrm>
          <a:off x="7323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102</xdr:row>
      <xdr:rowOff>0</xdr:rowOff>
    </xdr:to>
    <xdr:cxnSp macro="">
      <xdr:nvCxnSpPr>
        <xdr:cNvPr id="39078" name="직선 화살표 연결선 39077">
          <a:extLst>
            <a:ext uri="{FF2B5EF4-FFF2-40B4-BE49-F238E27FC236}">
              <a16:creationId xmlns:a16="http://schemas.microsoft.com/office/drawing/2014/main" id="{00000000-0008-0000-0100-0000A6980000}"/>
            </a:ext>
          </a:extLst>
        </xdr:cNvPr>
        <xdr:cNvCxnSpPr/>
      </xdr:nvCxnSpPr>
      <xdr:spPr>
        <a:xfrm>
          <a:off x="94573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102</xdr:row>
      <xdr:rowOff>0</xdr:rowOff>
    </xdr:to>
    <xdr:cxnSp macro="">
      <xdr:nvCxnSpPr>
        <xdr:cNvPr id="39079" name="직선 화살표 연결선 39078">
          <a:extLst>
            <a:ext uri="{FF2B5EF4-FFF2-40B4-BE49-F238E27FC236}">
              <a16:creationId xmlns:a16="http://schemas.microsoft.com/office/drawing/2014/main" id="{00000000-0008-0000-0100-0000A7980000}"/>
            </a:ext>
          </a:extLst>
        </xdr:cNvPr>
        <xdr:cNvCxnSpPr/>
      </xdr:nvCxnSpPr>
      <xdr:spPr>
        <a:xfrm>
          <a:off x="115909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102</xdr:row>
      <xdr:rowOff>0</xdr:rowOff>
    </xdr:to>
    <xdr:cxnSp macro="">
      <xdr:nvCxnSpPr>
        <xdr:cNvPr id="39080" name="직선 화살표 연결선 39079">
          <a:extLst>
            <a:ext uri="{FF2B5EF4-FFF2-40B4-BE49-F238E27FC236}">
              <a16:creationId xmlns:a16="http://schemas.microsoft.com/office/drawing/2014/main" id="{00000000-0008-0000-0100-0000A8980000}"/>
            </a:ext>
          </a:extLst>
        </xdr:cNvPr>
        <xdr:cNvCxnSpPr/>
      </xdr:nvCxnSpPr>
      <xdr:spPr>
        <a:xfrm>
          <a:off x="13724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102</xdr:row>
      <xdr:rowOff>0</xdr:rowOff>
    </xdr:to>
    <xdr:cxnSp macro="">
      <xdr:nvCxnSpPr>
        <xdr:cNvPr id="39081" name="직선 화살표 연결선 39080">
          <a:extLst>
            <a:ext uri="{FF2B5EF4-FFF2-40B4-BE49-F238E27FC236}">
              <a16:creationId xmlns:a16="http://schemas.microsoft.com/office/drawing/2014/main" id="{00000000-0008-0000-0100-0000A9980000}"/>
            </a:ext>
          </a:extLst>
        </xdr:cNvPr>
        <xdr:cNvCxnSpPr/>
      </xdr:nvCxnSpPr>
      <xdr:spPr>
        <a:xfrm>
          <a:off x="15858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102</xdr:row>
      <xdr:rowOff>0</xdr:rowOff>
    </xdr:to>
    <xdr:cxnSp macro="">
      <xdr:nvCxnSpPr>
        <xdr:cNvPr id="39082" name="직선 화살표 연결선 39081">
          <a:extLst>
            <a:ext uri="{FF2B5EF4-FFF2-40B4-BE49-F238E27FC236}">
              <a16:creationId xmlns:a16="http://schemas.microsoft.com/office/drawing/2014/main" id="{00000000-0008-0000-0100-0000AA980000}"/>
            </a:ext>
          </a:extLst>
        </xdr:cNvPr>
        <xdr:cNvCxnSpPr/>
      </xdr:nvCxnSpPr>
      <xdr:spPr>
        <a:xfrm>
          <a:off x="17991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0</xdr:colOff>
      <xdr:row>3</xdr:row>
      <xdr:rowOff>76073</xdr:rowOff>
    </xdr:from>
    <xdr:to>
      <xdr:col>86</xdr:col>
      <xdr:colOff>0</xdr:colOff>
      <xdr:row>102</xdr:row>
      <xdr:rowOff>0</xdr:rowOff>
    </xdr:to>
    <xdr:cxnSp macro="">
      <xdr:nvCxnSpPr>
        <xdr:cNvPr id="39083" name="직선 화살표 연결선 39082">
          <a:extLst>
            <a:ext uri="{FF2B5EF4-FFF2-40B4-BE49-F238E27FC236}">
              <a16:creationId xmlns:a16="http://schemas.microsoft.com/office/drawing/2014/main" id="{00000000-0008-0000-0100-0000AB980000}"/>
            </a:ext>
          </a:extLst>
        </xdr:cNvPr>
        <xdr:cNvCxnSpPr/>
      </xdr:nvCxnSpPr>
      <xdr:spPr>
        <a:xfrm>
          <a:off x="12372975" y="819023"/>
          <a:ext cx="0" cy="1813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101</xdr:row>
      <xdr:rowOff>28575</xdr:rowOff>
    </xdr:from>
    <xdr:to>
      <xdr:col>229</xdr:col>
      <xdr:colOff>1270</xdr:colOff>
      <xdr:row>101</xdr:row>
      <xdr:rowOff>142875</xdr:rowOff>
    </xdr:to>
    <xdr:sp macro="" textlink="">
      <xdr:nvSpPr>
        <xdr:cNvPr id="39084" name="98">
          <a:extLst>
            <a:ext uri="{FF2B5EF4-FFF2-40B4-BE49-F238E27FC236}">
              <a16:creationId xmlns:a16="http://schemas.microsoft.com/office/drawing/2014/main" id="{00000000-0008-0000-0100-0000AC980000}"/>
            </a:ext>
          </a:extLst>
        </xdr:cNvPr>
        <xdr:cNvSpPr/>
      </xdr:nvSpPr>
      <xdr:spPr>
        <a:xfrm>
          <a:off x="19288125" y="18811875"/>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101</xdr:row>
      <xdr:rowOff>85725</xdr:rowOff>
    </xdr:from>
    <xdr:to>
      <xdr:col>207</xdr:col>
      <xdr:colOff>0</xdr:colOff>
      <xdr:row>101</xdr:row>
      <xdr:rowOff>85725</xdr:rowOff>
    </xdr:to>
    <xdr:cxnSp macro="">
      <xdr:nvCxnSpPr>
        <xdr:cNvPr id="39085" name="직선 화살표 연결선 39084">
          <a:extLst>
            <a:ext uri="{FF2B5EF4-FFF2-40B4-BE49-F238E27FC236}">
              <a16:creationId xmlns:a16="http://schemas.microsoft.com/office/drawing/2014/main" id="{00000000-0008-0000-0100-0000AD980000}"/>
            </a:ext>
          </a:extLst>
        </xdr:cNvPr>
        <xdr:cNvCxnSpPr/>
      </xdr:nvCxnSpPr>
      <xdr:spPr>
        <a:xfrm>
          <a:off x="19288125" y="1886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100</xdr:row>
      <xdr:rowOff>28575</xdr:rowOff>
    </xdr:from>
    <xdr:to>
      <xdr:col>205</xdr:col>
      <xdr:colOff>1270</xdr:colOff>
      <xdr:row>100</xdr:row>
      <xdr:rowOff>142875</xdr:rowOff>
    </xdr:to>
    <xdr:sp macro="" textlink="">
      <xdr:nvSpPr>
        <xdr:cNvPr id="39086" name="97">
          <a:extLst>
            <a:ext uri="{FF2B5EF4-FFF2-40B4-BE49-F238E27FC236}">
              <a16:creationId xmlns:a16="http://schemas.microsoft.com/office/drawing/2014/main" id="{00000000-0008-0000-0100-0000AE980000}"/>
            </a:ext>
          </a:extLst>
        </xdr:cNvPr>
        <xdr:cNvSpPr/>
      </xdr:nvSpPr>
      <xdr:spPr>
        <a:xfrm>
          <a:off x="18888075" y="18640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100</xdr:row>
      <xdr:rowOff>85725</xdr:rowOff>
    </xdr:from>
    <xdr:to>
      <xdr:col>200</xdr:col>
      <xdr:colOff>0</xdr:colOff>
      <xdr:row>100</xdr:row>
      <xdr:rowOff>85725</xdr:rowOff>
    </xdr:to>
    <xdr:cxnSp macro="">
      <xdr:nvCxnSpPr>
        <xdr:cNvPr id="39087" name="직선 화살표 연결선 39086">
          <a:extLst>
            <a:ext uri="{FF2B5EF4-FFF2-40B4-BE49-F238E27FC236}">
              <a16:creationId xmlns:a16="http://schemas.microsoft.com/office/drawing/2014/main" id="{00000000-0008-0000-0100-0000AF980000}"/>
            </a:ext>
          </a:extLst>
        </xdr:cNvPr>
        <xdr:cNvCxnSpPr/>
      </xdr:nvCxnSpPr>
      <xdr:spPr>
        <a:xfrm>
          <a:off x="18888075" y="18697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99</xdr:row>
      <xdr:rowOff>28575</xdr:rowOff>
    </xdr:from>
    <xdr:to>
      <xdr:col>229</xdr:col>
      <xdr:colOff>1270</xdr:colOff>
      <xdr:row>99</xdr:row>
      <xdr:rowOff>142875</xdr:rowOff>
    </xdr:to>
    <xdr:sp macro="" textlink="">
      <xdr:nvSpPr>
        <xdr:cNvPr id="39088" name="96">
          <a:extLst>
            <a:ext uri="{FF2B5EF4-FFF2-40B4-BE49-F238E27FC236}">
              <a16:creationId xmlns:a16="http://schemas.microsoft.com/office/drawing/2014/main" id="{00000000-0008-0000-0100-0000B0980000}"/>
            </a:ext>
          </a:extLst>
        </xdr:cNvPr>
        <xdr:cNvSpPr/>
      </xdr:nvSpPr>
      <xdr:spPr>
        <a:xfrm>
          <a:off x="13687425" y="184689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99</xdr:row>
      <xdr:rowOff>85725</xdr:rowOff>
    </xdr:from>
    <xdr:to>
      <xdr:col>109</xdr:col>
      <xdr:colOff>0</xdr:colOff>
      <xdr:row>99</xdr:row>
      <xdr:rowOff>85725</xdr:rowOff>
    </xdr:to>
    <xdr:cxnSp macro="">
      <xdr:nvCxnSpPr>
        <xdr:cNvPr id="39089" name="직선 화살표 연결선 39088">
          <a:extLst>
            <a:ext uri="{FF2B5EF4-FFF2-40B4-BE49-F238E27FC236}">
              <a16:creationId xmlns:a16="http://schemas.microsoft.com/office/drawing/2014/main" id="{00000000-0008-0000-0100-0000B1980000}"/>
            </a:ext>
          </a:extLst>
        </xdr:cNvPr>
        <xdr:cNvCxnSpPr/>
      </xdr:nvCxnSpPr>
      <xdr:spPr>
        <a:xfrm>
          <a:off x="13687425" y="1852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98</xdr:row>
      <xdr:rowOff>19050</xdr:rowOff>
    </xdr:from>
    <xdr:to>
      <xdr:col>229</xdr:col>
      <xdr:colOff>1270</xdr:colOff>
      <xdr:row>98</xdr:row>
      <xdr:rowOff>133350</xdr:rowOff>
    </xdr:to>
    <xdr:sp macro="" textlink="">
      <xdr:nvSpPr>
        <xdr:cNvPr id="39090" name="95">
          <a:extLst>
            <a:ext uri="{FF2B5EF4-FFF2-40B4-BE49-F238E27FC236}">
              <a16:creationId xmlns:a16="http://schemas.microsoft.com/office/drawing/2014/main" id="{00000000-0008-0000-0100-0000B2980000}"/>
            </a:ext>
          </a:extLst>
        </xdr:cNvPr>
        <xdr:cNvSpPr/>
      </xdr:nvSpPr>
      <xdr:spPr>
        <a:xfrm>
          <a:off x="13687425" y="183070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98</xdr:row>
      <xdr:rowOff>76200</xdr:rowOff>
    </xdr:from>
    <xdr:to>
      <xdr:col>109</xdr:col>
      <xdr:colOff>0</xdr:colOff>
      <xdr:row>98</xdr:row>
      <xdr:rowOff>76200</xdr:rowOff>
    </xdr:to>
    <xdr:cxnSp macro="">
      <xdr:nvCxnSpPr>
        <xdr:cNvPr id="39091" name="직선 화살표 연결선 39090">
          <a:extLst>
            <a:ext uri="{FF2B5EF4-FFF2-40B4-BE49-F238E27FC236}">
              <a16:creationId xmlns:a16="http://schemas.microsoft.com/office/drawing/2014/main" id="{00000000-0008-0000-0100-0000B3980000}"/>
            </a:ext>
          </a:extLst>
        </xdr:cNvPr>
        <xdr:cNvCxnSpPr/>
      </xdr:nvCxnSpPr>
      <xdr:spPr>
        <a:xfrm>
          <a:off x="13687425" y="1836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97</xdr:row>
      <xdr:rowOff>28575</xdr:rowOff>
    </xdr:from>
    <xdr:to>
      <xdr:col>260</xdr:col>
      <xdr:colOff>1270</xdr:colOff>
      <xdr:row>97</xdr:row>
      <xdr:rowOff>142875</xdr:rowOff>
    </xdr:to>
    <xdr:sp macro="" textlink="">
      <xdr:nvSpPr>
        <xdr:cNvPr id="39092" name="94">
          <a:extLst>
            <a:ext uri="{FF2B5EF4-FFF2-40B4-BE49-F238E27FC236}">
              <a16:creationId xmlns:a16="http://schemas.microsoft.com/office/drawing/2014/main" id="{00000000-0008-0000-0100-0000B4980000}"/>
            </a:ext>
          </a:extLst>
        </xdr:cNvPr>
        <xdr:cNvSpPr/>
      </xdr:nvSpPr>
      <xdr:spPr>
        <a:xfrm>
          <a:off x="17059275" y="1814512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97</xdr:row>
      <xdr:rowOff>85725</xdr:rowOff>
    </xdr:from>
    <xdr:to>
      <xdr:col>168</xdr:col>
      <xdr:colOff>0</xdr:colOff>
      <xdr:row>97</xdr:row>
      <xdr:rowOff>85725</xdr:rowOff>
    </xdr:to>
    <xdr:cxnSp macro="">
      <xdr:nvCxnSpPr>
        <xdr:cNvPr id="39093" name="직선 화살표 연결선 39092">
          <a:extLst>
            <a:ext uri="{FF2B5EF4-FFF2-40B4-BE49-F238E27FC236}">
              <a16:creationId xmlns:a16="http://schemas.microsoft.com/office/drawing/2014/main" id="{00000000-0008-0000-0100-0000B5980000}"/>
            </a:ext>
          </a:extLst>
        </xdr:cNvPr>
        <xdr:cNvCxnSpPr/>
      </xdr:nvCxnSpPr>
      <xdr:spPr>
        <a:xfrm>
          <a:off x="17059275"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96</xdr:row>
      <xdr:rowOff>28575</xdr:rowOff>
    </xdr:from>
    <xdr:to>
      <xdr:col>260</xdr:col>
      <xdr:colOff>1270</xdr:colOff>
      <xdr:row>96</xdr:row>
      <xdr:rowOff>142875</xdr:rowOff>
    </xdr:to>
    <xdr:sp macro="" textlink="">
      <xdr:nvSpPr>
        <xdr:cNvPr id="39094" name="93">
          <a:extLst>
            <a:ext uri="{FF2B5EF4-FFF2-40B4-BE49-F238E27FC236}">
              <a16:creationId xmlns:a16="http://schemas.microsoft.com/office/drawing/2014/main" id="{00000000-0008-0000-0100-0000B6980000}"/>
            </a:ext>
          </a:extLst>
        </xdr:cNvPr>
        <xdr:cNvSpPr/>
      </xdr:nvSpPr>
      <xdr:spPr>
        <a:xfrm>
          <a:off x="17059275" y="1797367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96</xdr:row>
      <xdr:rowOff>85725</xdr:rowOff>
    </xdr:from>
    <xdr:to>
      <xdr:col>168</xdr:col>
      <xdr:colOff>0</xdr:colOff>
      <xdr:row>96</xdr:row>
      <xdr:rowOff>85725</xdr:rowOff>
    </xdr:to>
    <xdr:cxnSp macro="">
      <xdr:nvCxnSpPr>
        <xdr:cNvPr id="39095" name="직선 화살표 연결선 39094">
          <a:extLst>
            <a:ext uri="{FF2B5EF4-FFF2-40B4-BE49-F238E27FC236}">
              <a16:creationId xmlns:a16="http://schemas.microsoft.com/office/drawing/2014/main" id="{00000000-0008-0000-0100-0000B7980000}"/>
            </a:ext>
          </a:extLst>
        </xdr:cNvPr>
        <xdr:cNvCxnSpPr/>
      </xdr:nvCxnSpPr>
      <xdr:spPr>
        <a:xfrm>
          <a:off x="17059275" y="18030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19050</xdr:rowOff>
    </xdr:from>
    <xdr:to>
      <xdr:col>260</xdr:col>
      <xdr:colOff>1270</xdr:colOff>
      <xdr:row>95</xdr:row>
      <xdr:rowOff>133350</xdr:rowOff>
    </xdr:to>
    <xdr:sp macro="" textlink="">
      <xdr:nvSpPr>
        <xdr:cNvPr id="39096" name="92">
          <a:extLst>
            <a:ext uri="{FF2B5EF4-FFF2-40B4-BE49-F238E27FC236}">
              <a16:creationId xmlns:a16="http://schemas.microsoft.com/office/drawing/2014/main" id="{00000000-0008-0000-0100-0000B8980000}"/>
            </a:ext>
          </a:extLst>
        </xdr:cNvPr>
        <xdr:cNvSpPr/>
      </xdr:nvSpPr>
      <xdr:spPr>
        <a:xfrm>
          <a:off x="17059275" y="17811750"/>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76200</xdr:rowOff>
    </xdr:from>
    <xdr:to>
      <xdr:col>168</xdr:col>
      <xdr:colOff>0</xdr:colOff>
      <xdr:row>95</xdr:row>
      <xdr:rowOff>76200</xdr:rowOff>
    </xdr:to>
    <xdr:cxnSp macro="">
      <xdr:nvCxnSpPr>
        <xdr:cNvPr id="39097" name="직선 화살표 연결선 39096">
          <a:extLst>
            <a:ext uri="{FF2B5EF4-FFF2-40B4-BE49-F238E27FC236}">
              <a16:creationId xmlns:a16="http://schemas.microsoft.com/office/drawing/2014/main" id="{00000000-0008-0000-0100-0000B9980000}"/>
            </a:ext>
          </a:extLst>
        </xdr:cNvPr>
        <xdr:cNvCxnSpPr/>
      </xdr:nvCxnSpPr>
      <xdr:spPr>
        <a:xfrm>
          <a:off x="17059275" y="1786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94</xdr:row>
      <xdr:rowOff>28575</xdr:rowOff>
    </xdr:from>
    <xdr:to>
      <xdr:col>260</xdr:col>
      <xdr:colOff>1270</xdr:colOff>
      <xdr:row>94</xdr:row>
      <xdr:rowOff>142875</xdr:rowOff>
    </xdr:to>
    <xdr:sp macro="" textlink="">
      <xdr:nvSpPr>
        <xdr:cNvPr id="39098" name="91">
          <a:extLst>
            <a:ext uri="{FF2B5EF4-FFF2-40B4-BE49-F238E27FC236}">
              <a16:creationId xmlns:a16="http://schemas.microsoft.com/office/drawing/2014/main" id="{00000000-0008-0000-0100-0000BA980000}"/>
            </a:ext>
          </a:extLst>
        </xdr:cNvPr>
        <xdr:cNvSpPr/>
      </xdr:nvSpPr>
      <xdr:spPr>
        <a:xfrm>
          <a:off x="20545425" y="176498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94</xdr:row>
      <xdr:rowOff>85725</xdr:rowOff>
    </xdr:from>
    <xdr:to>
      <xdr:col>229</xdr:col>
      <xdr:colOff>0</xdr:colOff>
      <xdr:row>94</xdr:row>
      <xdr:rowOff>85725</xdr:rowOff>
    </xdr:to>
    <xdr:cxnSp macro="">
      <xdr:nvCxnSpPr>
        <xdr:cNvPr id="39099" name="직선 화살표 연결선 39098">
          <a:extLst>
            <a:ext uri="{FF2B5EF4-FFF2-40B4-BE49-F238E27FC236}">
              <a16:creationId xmlns:a16="http://schemas.microsoft.com/office/drawing/2014/main" id="{00000000-0008-0000-0100-0000BB980000}"/>
            </a:ext>
          </a:extLst>
        </xdr:cNvPr>
        <xdr:cNvCxnSpPr/>
      </xdr:nvCxnSpPr>
      <xdr:spPr>
        <a:xfrm>
          <a:off x="20545425" y="1770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93</xdr:row>
      <xdr:rowOff>28575</xdr:rowOff>
    </xdr:from>
    <xdr:to>
      <xdr:col>240</xdr:col>
      <xdr:colOff>1270</xdr:colOff>
      <xdr:row>93</xdr:row>
      <xdr:rowOff>142875</xdr:rowOff>
    </xdr:to>
    <xdr:sp macro="" textlink="">
      <xdr:nvSpPr>
        <xdr:cNvPr id="39100" name="90">
          <a:extLst>
            <a:ext uri="{FF2B5EF4-FFF2-40B4-BE49-F238E27FC236}">
              <a16:creationId xmlns:a16="http://schemas.microsoft.com/office/drawing/2014/main" id="{00000000-0008-0000-0100-0000BC980000}"/>
            </a:ext>
          </a:extLst>
        </xdr:cNvPr>
        <xdr:cNvSpPr/>
      </xdr:nvSpPr>
      <xdr:spPr>
        <a:xfrm>
          <a:off x="18888075" y="174783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93</xdr:row>
      <xdr:rowOff>85725</xdr:rowOff>
    </xdr:from>
    <xdr:to>
      <xdr:col>200</xdr:col>
      <xdr:colOff>0</xdr:colOff>
      <xdr:row>93</xdr:row>
      <xdr:rowOff>85725</xdr:rowOff>
    </xdr:to>
    <xdr:cxnSp macro="">
      <xdr:nvCxnSpPr>
        <xdr:cNvPr id="39101" name="직선 화살표 연결선 39100">
          <a:extLst>
            <a:ext uri="{FF2B5EF4-FFF2-40B4-BE49-F238E27FC236}">
              <a16:creationId xmlns:a16="http://schemas.microsoft.com/office/drawing/2014/main" id="{00000000-0008-0000-0100-0000BD980000}"/>
            </a:ext>
          </a:extLst>
        </xdr:cNvPr>
        <xdr:cNvCxnSpPr/>
      </xdr:nvCxnSpPr>
      <xdr:spPr>
        <a:xfrm>
          <a:off x="18888075" y="17535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19050</xdr:rowOff>
    </xdr:from>
    <xdr:to>
      <xdr:col>260</xdr:col>
      <xdr:colOff>1270</xdr:colOff>
      <xdr:row>92</xdr:row>
      <xdr:rowOff>133350</xdr:rowOff>
    </xdr:to>
    <xdr:sp macro="" textlink="">
      <xdr:nvSpPr>
        <xdr:cNvPr id="39102" name="89">
          <a:extLst>
            <a:ext uri="{FF2B5EF4-FFF2-40B4-BE49-F238E27FC236}">
              <a16:creationId xmlns:a16="http://schemas.microsoft.com/office/drawing/2014/main" id="{00000000-0008-0000-0100-0000BE980000}"/>
            </a:ext>
          </a:extLst>
        </xdr:cNvPr>
        <xdr:cNvSpPr/>
      </xdr:nvSpPr>
      <xdr:spPr>
        <a:xfrm>
          <a:off x="18888075" y="1731645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76200</xdr:rowOff>
    </xdr:from>
    <xdr:to>
      <xdr:col>200</xdr:col>
      <xdr:colOff>0</xdr:colOff>
      <xdr:row>92</xdr:row>
      <xdr:rowOff>76200</xdr:rowOff>
    </xdr:to>
    <xdr:cxnSp macro="">
      <xdr:nvCxnSpPr>
        <xdr:cNvPr id="39103" name="직선 화살표 연결선 39102">
          <a:extLst>
            <a:ext uri="{FF2B5EF4-FFF2-40B4-BE49-F238E27FC236}">
              <a16:creationId xmlns:a16="http://schemas.microsoft.com/office/drawing/2014/main" id="{00000000-0008-0000-0100-0000BF980000}"/>
            </a:ext>
          </a:extLst>
        </xdr:cNvPr>
        <xdr:cNvCxnSpPr/>
      </xdr:nvCxnSpPr>
      <xdr:spPr>
        <a:xfrm>
          <a:off x="18888075" y="1737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91</xdr:row>
      <xdr:rowOff>28575</xdr:rowOff>
    </xdr:from>
    <xdr:to>
      <xdr:col>153</xdr:col>
      <xdr:colOff>1270</xdr:colOff>
      <xdr:row>91</xdr:row>
      <xdr:rowOff>142875</xdr:rowOff>
    </xdr:to>
    <xdr:sp macro="" textlink="">
      <xdr:nvSpPr>
        <xdr:cNvPr id="39104" name="88">
          <a:extLst>
            <a:ext uri="{FF2B5EF4-FFF2-40B4-BE49-F238E27FC236}">
              <a16:creationId xmlns:a16="http://schemas.microsoft.com/office/drawing/2014/main" id="{00000000-0008-0000-0100-0000C0980000}"/>
            </a:ext>
          </a:extLst>
        </xdr:cNvPr>
        <xdr:cNvSpPr/>
      </xdr:nvSpPr>
      <xdr:spPr>
        <a:xfrm>
          <a:off x="13687425" y="17154525"/>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91</xdr:row>
      <xdr:rowOff>85725</xdr:rowOff>
    </xdr:from>
    <xdr:to>
      <xdr:col>109</xdr:col>
      <xdr:colOff>0</xdr:colOff>
      <xdr:row>91</xdr:row>
      <xdr:rowOff>85725</xdr:rowOff>
    </xdr:to>
    <xdr:cxnSp macro="">
      <xdr:nvCxnSpPr>
        <xdr:cNvPr id="39105" name="직선 화살표 연결선 39104">
          <a:extLst>
            <a:ext uri="{FF2B5EF4-FFF2-40B4-BE49-F238E27FC236}">
              <a16:creationId xmlns:a16="http://schemas.microsoft.com/office/drawing/2014/main" id="{00000000-0008-0000-0100-0000C1980000}"/>
            </a:ext>
          </a:extLst>
        </xdr:cNvPr>
        <xdr:cNvCxnSpPr/>
      </xdr:nvCxnSpPr>
      <xdr:spPr>
        <a:xfrm>
          <a:off x="13687425" y="17211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28575</xdr:rowOff>
    </xdr:from>
    <xdr:to>
      <xdr:col>107</xdr:col>
      <xdr:colOff>1270</xdr:colOff>
      <xdr:row>90</xdr:row>
      <xdr:rowOff>142875</xdr:rowOff>
    </xdr:to>
    <xdr:sp macro="" textlink="">
      <xdr:nvSpPr>
        <xdr:cNvPr id="39106" name="87">
          <a:extLst>
            <a:ext uri="{FF2B5EF4-FFF2-40B4-BE49-F238E27FC236}">
              <a16:creationId xmlns:a16="http://schemas.microsoft.com/office/drawing/2014/main" id="{00000000-0008-0000-0100-0000C2980000}"/>
            </a:ext>
          </a:extLst>
        </xdr:cNvPr>
        <xdr:cNvSpPr/>
      </xdr:nvSpPr>
      <xdr:spPr>
        <a:xfrm>
          <a:off x="11287125" y="169830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90</xdr:row>
      <xdr:rowOff>85725</xdr:rowOff>
    </xdr:from>
    <xdr:to>
      <xdr:col>107</xdr:col>
      <xdr:colOff>0</xdr:colOff>
      <xdr:row>90</xdr:row>
      <xdr:rowOff>85725</xdr:rowOff>
    </xdr:to>
    <xdr:cxnSp macro="">
      <xdr:nvCxnSpPr>
        <xdr:cNvPr id="39107" name="직선 화살표 연결선 39106">
          <a:extLst>
            <a:ext uri="{FF2B5EF4-FFF2-40B4-BE49-F238E27FC236}">
              <a16:creationId xmlns:a16="http://schemas.microsoft.com/office/drawing/2014/main" id="{00000000-0008-0000-0100-0000C3980000}"/>
            </a:ext>
          </a:extLst>
        </xdr:cNvPr>
        <xdr:cNvCxnSpPr/>
      </xdr:nvCxnSpPr>
      <xdr:spPr>
        <a:xfrm>
          <a:off x="11287125" y="17040225"/>
          <a:ext cx="2286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19050</xdr:rowOff>
    </xdr:from>
    <xdr:to>
      <xdr:col>153</xdr:col>
      <xdr:colOff>1270</xdr:colOff>
      <xdr:row>89</xdr:row>
      <xdr:rowOff>133350</xdr:rowOff>
    </xdr:to>
    <xdr:sp macro="" textlink="">
      <xdr:nvSpPr>
        <xdr:cNvPr id="39108" name="86">
          <a:extLst>
            <a:ext uri="{FF2B5EF4-FFF2-40B4-BE49-F238E27FC236}">
              <a16:creationId xmlns:a16="http://schemas.microsoft.com/office/drawing/2014/main" id="{00000000-0008-0000-0100-0000C4980000}"/>
            </a:ext>
          </a:extLst>
        </xdr:cNvPr>
        <xdr:cNvSpPr/>
      </xdr:nvSpPr>
      <xdr:spPr>
        <a:xfrm>
          <a:off x="11287125" y="16821150"/>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76200</xdr:rowOff>
    </xdr:from>
    <xdr:to>
      <xdr:col>108</xdr:col>
      <xdr:colOff>32386</xdr:colOff>
      <xdr:row>89</xdr:row>
      <xdr:rowOff>76200</xdr:rowOff>
    </xdr:to>
    <xdr:cxnSp macro="">
      <xdr:nvCxnSpPr>
        <xdr:cNvPr id="39109" name="직선 화살표 연결선 39108">
          <a:extLst>
            <a:ext uri="{FF2B5EF4-FFF2-40B4-BE49-F238E27FC236}">
              <a16:creationId xmlns:a16="http://schemas.microsoft.com/office/drawing/2014/main" id="{00000000-0008-0000-0100-0000C5980000}"/>
            </a:ext>
          </a:extLst>
        </xdr:cNvPr>
        <xdr:cNvCxnSpPr/>
      </xdr:nvCxnSpPr>
      <xdr:spPr>
        <a:xfrm>
          <a:off x="11287125" y="16878300"/>
          <a:ext cx="2375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260</xdr:col>
      <xdr:colOff>1270</xdr:colOff>
      <xdr:row>88</xdr:row>
      <xdr:rowOff>133350</xdr:rowOff>
    </xdr:to>
    <xdr:sp macro="" textlink="">
      <xdr:nvSpPr>
        <xdr:cNvPr id="39110" name="85">
          <a:extLst>
            <a:ext uri="{FF2B5EF4-FFF2-40B4-BE49-F238E27FC236}">
              <a16:creationId xmlns:a16="http://schemas.microsoft.com/office/drawing/2014/main" id="{00000000-0008-0000-0100-0000C6980000}"/>
            </a:ext>
          </a:extLst>
        </xdr:cNvPr>
        <xdr:cNvSpPr/>
      </xdr:nvSpPr>
      <xdr:spPr>
        <a:xfrm>
          <a:off x="11287125" y="16668750"/>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83</xdr:col>
      <xdr:colOff>26390</xdr:colOff>
      <xdr:row>88</xdr:row>
      <xdr:rowOff>76200</xdr:rowOff>
    </xdr:to>
    <xdr:cxnSp macro="">
      <xdr:nvCxnSpPr>
        <xdr:cNvPr id="39111" name="직선 화살표 연결선 39110">
          <a:extLst>
            <a:ext uri="{FF2B5EF4-FFF2-40B4-BE49-F238E27FC236}">
              <a16:creationId xmlns:a16="http://schemas.microsoft.com/office/drawing/2014/main" id="{00000000-0008-0000-0100-0000C7980000}"/>
            </a:ext>
          </a:extLst>
        </xdr:cNvPr>
        <xdr:cNvCxnSpPr/>
      </xdr:nvCxnSpPr>
      <xdr:spPr>
        <a:xfrm>
          <a:off x="11287125" y="16725900"/>
          <a:ext cx="9407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87</xdr:row>
      <xdr:rowOff>28575</xdr:rowOff>
    </xdr:from>
    <xdr:to>
      <xdr:col>260</xdr:col>
      <xdr:colOff>1270</xdr:colOff>
      <xdr:row>87</xdr:row>
      <xdr:rowOff>142875</xdr:rowOff>
    </xdr:to>
    <xdr:sp macro="" textlink="">
      <xdr:nvSpPr>
        <xdr:cNvPr id="39112" name="84">
          <a:extLst>
            <a:ext uri="{FF2B5EF4-FFF2-40B4-BE49-F238E27FC236}">
              <a16:creationId xmlns:a16="http://schemas.microsoft.com/office/drawing/2014/main" id="{00000000-0008-0000-0100-0000C8980000}"/>
            </a:ext>
          </a:extLst>
        </xdr:cNvPr>
        <xdr:cNvSpPr/>
      </xdr:nvSpPr>
      <xdr:spPr>
        <a:xfrm>
          <a:off x="18888075" y="165068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87</xdr:row>
      <xdr:rowOff>85725</xdr:rowOff>
    </xdr:from>
    <xdr:to>
      <xdr:col>200</xdr:col>
      <xdr:colOff>0</xdr:colOff>
      <xdr:row>87</xdr:row>
      <xdr:rowOff>85725</xdr:rowOff>
    </xdr:to>
    <xdr:cxnSp macro="">
      <xdr:nvCxnSpPr>
        <xdr:cNvPr id="39113" name="직선 화살표 연결선 39112">
          <a:extLst>
            <a:ext uri="{FF2B5EF4-FFF2-40B4-BE49-F238E27FC236}">
              <a16:creationId xmlns:a16="http://schemas.microsoft.com/office/drawing/2014/main" id="{00000000-0008-0000-0100-0000C9980000}"/>
            </a:ext>
          </a:extLst>
        </xdr:cNvPr>
        <xdr:cNvCxnSpPr/>
      </xdr:nvCxnSpPr>
      <xdr:spPr>
        <a:xfrm>
          <a:off x="18888075" y="1656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19050</xdr:rowOff>
    </xdr:from>
    <xdr:to>
      <xdr:col>260</xdr:col>
      <xdr:colOff>1270</xdr:colOff>
      <xdr:row>86</xdr:row>
      <xdr:rowOff>133350</xdr:rowOff>
    </xdr:to>
    <xdr:sp macro="" textlink="">
      <xdr:nvSpPr>
        <xdr:cNvPr id="39114" name="83">
          <a:extLst>
            <a:ext uri="{FF2B5EF4-FFF2-40B4-BE49-F238E27FC236}">
              <a16:creationId xmlns:a16="http://schemas.microsoft.com/office/drawing/2014/main" id="{00000000-0008-0000-0100-0000CA980000}"/>
            </a:ext>
          </a:extLst>
        </xdr:cNvPr>
        <xdr:cNvSpPr/>
      </xdr:nvSpPr>
      <xdr:spPr>
        <a:xfrm>
          <a:off x="18888075" y="163449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76200</xdr:rowOff>
    </xdr:from>
    <xdr:to>
      <xdr:col>200</xdr:col>
      <xdr:colOff>0</xdr:colOff>
      <xdr:row>86</xdr:row>
      <xdr:rowOff>76200</xdr:rowOff>
    </xdr:to>
    <xdr:cxnSp macro="">
      <xdr:nvCxnSpPr>
        <xdr:cNvPr id="39115" name="직선 화살표 연결선 39114">
          <a:extLst>
            <a:ext uri="{FF2B5EF4-FFF2-40B4-BE49-F238E27FC236}">
              <a16:creationId xmlns:a16="http://schemas.microsoft.com/office/drawing/2014/main" id="{00000000-0008-0000-0100-0000CB980000}"/>
            </a:ext>
          </a:extLst>
        </xdr:cNvPr>
        <xdr:cNvCxnSpPr/>
      </xdr:nvCxnSpPr>
      <xdr:spPr>
        <a:xfrm>
          <a:off x="18888075" y="16402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28575</xdr:rowOff>
    </xdr:from>
    <xdr:to>
      <xdr:col>260</xdr:col>
      <xdr:colOff>1270</xdr:colOff>
      <xdr:row>85</xdr:row>
      <xdr:rowOff>142875</xdr:rowOff>
    </xdr:to>
    <xdr:sp macro="" textlink="">
      <xdr:nvSpPr>
        <xdr:cNvPr id="39116" name="82">
          <a:extLst>
            <a:ext uri="{FF2B5EF4-FFF2-40B4-BE49-F238E27FC236}">
              <a16:creationId xmlns:a16="http://schemas.microsoft.com/office/drawing/2014/main" id="{00000000-0008-0000-0100-0000CC980000}"/>
            </a:ext>
          </a:extLst>
        </xdr:cNvPr>
        <xdr:cNvSpPr/>
      </xdr:nvSpPr>
      <xdr:spPr>
        <a:xfrm>
          <a:off x="18888075" y="161829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85725</xdr:rowOff>
    </xdr:from>
    <xdr:to>
      <xdr:col>200</xdr:col>
      <xdr:colOff>0</xdr:colOff>
      <xdr:row>85</xdr:row>
      <xdr:rowOff>85725</xdr:rowOff>
    </xdr:to>
    <xdr:cxnSp macro="">
      <xdr:nvCxnSpPr>
        <xdr:cNvPr id="39117" name="직선 화살표 연결선 39116">
          <a:extLst>
            <a:ext uri="{FF2B5EF4-FFF2-40B4-BE49-F238E27FC236}">
              <a16:creationId xmlns:a16="http://schemas.microsoft.com/office/drawing/2014/main" id="{00000000-0008-0000-0100-0000CD980000}"/>
            </a:ext>
          </a:extLst>
        </xdr:cNvPr>
        <xdr:cNvCxnSpPr/>
      </xdr:nvCxnSpPr>
      <xdr:spPr>
        <a:xfrm>
          <a:off x="18888075" y="16240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157163</xdr:rowOff>
    </xdr:from>
    <xdr:to>
      <xdr:col>260</xdr:col>
      <xdr:colOff>1270</xdr:colOff>
      <xdr:row>84</xdr:row>
      <xdr:rowOff>271463</xdr:rowOff>
    </xdr:to>
    <xdr:sp macro="" textlink="">
      <xdr:nvSpPr>
        <xdr:cNvPr id="39118" name="81">
          <a:extLst>
            <a:ext uri="{FF2B5EF4-FFF2-40B4-BE49-F238E27FC236}">
              <a16:creationId xmlns:a16="http://schemas.microsoft.com/office/drawing/2014/main" id="{00000000-0008-0000-0100-0000CE980000}"/>
            </a:ext>
          </a:extLst>
        </xdr:cNvPr>
        <xdr:cNvSpPr/>
      </xdr:nvSpPr>
      <xdr:spPr>
        <a:xfrm>
          <a:off x="18888075" y="15882938"/>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214313</xdr:rowOff>
    </xdr:from>
    <xdr:to>
      <xdr:col>200</xdr:col>
      <xdr:colOff>0</xdr:colOff>
      <xdr:row>84</xdr:row>
      <xdr:rowOff>214313</xdr:rowOff>
    </xdr:to>
    <xdr:cxnSp macro="">
      <xdr:nvCxnSpPr>
        <xdr:cNvPr id="39119" name="직선 화살표 연결선 39118">
          <a:extLst>
            <a:ext uri="{FF2B5EF4-FFF2-40B4-BE49-F238E27FC236}">
              <a16:creationId xmlns:a16="http://schemas.microsoft.com/office/drawing/2014/main" id="{00000000-0008-0000-0100-0000CF980000}"/>
            </a:ext>
          </a:extLst>
        </xdr:cNvPr>
        <xdr:cNvCxnSpPr/>
      </xdr:nvCxnSpPr>
      <xdr:spPr>
        <a:xfrm>
          <a:off x="18888075" y="15940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28575</xdr:rowOff>
    </xdr:from>
    <xdr:to>
      <xdr:col>260</xdr:col>
      <xdr:colOff>1270</xdr:colOff>
      <xdr:row>83</xdr:row>
      <xdr:rowOff>142875</xdr:rowOff>
    </xdr:to>
    <xdr:sp macro="" textlink="">
      <xdr:nvSpPr>
        <xdr:cNvPr id="39120" name="80">
          <a:extLst>
            <a:ext uri="{FF2B5EF4-FFF2-40B4-BE49-F238E27FC236}">
              <a16:creationId xmlns:a16="http://schemas.microsoft.com/office/drawing/2014/main" id="{00000000-0008-0000-0100-0000D0980000}"/>
            </a:ext>
          </a:extLst>
        </xdr:cNvPr>
        <xdr:cNvSpPr/>
      </xdr:nvSpPr>
      <xdr:spPr>
        <a:xfrm>
          <a:off x="18888075" y="155829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85725</xdr:rowOff>
    </xdr:from>
    <xdr:to>
      <xdr:col>200</xdr:col>
      <xdr:colOff>0</xdr:colOff>
      <xdr:row>83</xdr:row>
      <xdr:rowOff>85725</xdr:rowOff>
    </xdr:to>
    <xdr:cxnSp macro="">
      <xdr:nvCxnSpPr>
        <xdr:cNvPr id="39121" name="직선 화살표 연결선 39120">
          <a:extLst>
            <a:ext uri="{FF2B5EF4-FFF2-40B4-BE49-F238E27FC236}">
              <a16:creationId xmlns:a16="http://schemas.microsoft.com/office/drawing/2014/main" id="{00000000-0008-0000-0100-0000D1980000}"/>
            </a:ext>
          </a:extLst>
        </xdr:cNvPr>
        <xdr:cNvCxnSpPr/>
      </xdr:nvCxnSpPr>
      <xdr:spPr>
        <a:xfrm>
          <a:off x="18888075" y="15640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82</xdr:row>
      <xdr:rowOff>28575</xdr:rowOff>
    </xdr:from>
    <xdr:to>
      <xdr:col>260</xdr:col>
      <xdr:colOff>1270</xdr:colOff>
      <xdr:row>82</xdr:row>
      <xdr:rowOff>142875</xdr:rowOff>
    </xdr:to>
    <xdr:sp macro="" textlink="">
      <xdr:nvSpPr>
        <xdr:cNvPr id="39122" name="79">
          <a:extLst>
            <a:ext uri="{FF2B5EF4-FFF2-40B4-BE49-F238E27FC236}">
              <a16:creationId xmlns:a16="http://schemas.microsoft.com/office/drawing/2014/main" id="{00000000-0008-0000-0100-0000D2980000}"/>
            </a:ext>
          </a:extLst>
        </xdr:cNvPr>
        <xdr:cNvSpPr/>
      </xdr:nvSpPr>
      <xdr:spPr>
        <a:xfrm>
          <a:off x="19688175" y="15411450"/>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82</xdr:row>
      <xdr:rowOff>85725</xdr:rowOff>
    </xdr:from>
    <xdr:to>
      <xdr:col>214</xdr:col>
      <xdr:colOff>0</xdr:colOff>
      <xdr:row>82</xdr:row>
      <xdr:rowOff>85725</xdr:rowOff>
    </xdr:to>
    <xdr:cxnSp macro="">
      <xdr:nvCxnSpPr>
        <xdr:cNvPr id="39123" name="직선 화살표 연결선 39122">
          <a:extLst>
            <a:ext uri="{FF2B5EF4-FFF2-40B4-BE49-F238E27FC236}">
              <a16:creationId xmlns:a16="http://schemas.microsoft.com/office/drawing/2014/main" id="{00000000-0008-0000-0100-0000D3980000}"/>
            </a:ext>
          </a:extLst>
        </xdr:cNvPr>
        <xdr:cNvCxnSpPr/>
      </xdr:nvCxnSpPr>
      <xdr:spPr>
        <a:xfrm>
          <a:off x="19688175" y="1546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81</xdr:row>
      <xdr:rowOff>28575</xdr:rowOff>
    </xdr:from>
    <xdr:to>
      <xdr:col>260</xdr:col>
      <xdr:colOff>1270</xdr:colOff>
      <xdr:row>81</xdr:row>
      <xdr:rowOff>142875</xdr:rowOff>
    </xdr:to>
    <xdr:sp macro="" textlink="">
      <xdr:nvSpPr>
        <xdr:cNvPr id="39124" name="78">
          <a:extLst>
            <a:ext uri="{FF2B5EF4-FFF2-40B4-BE49-F238E27FC236}">
              <a16:creationId xmlns:a16="http://schemas.microsoft.com/office/drawing/2014/main" id="{00000000-0008-0000-0100-0000D4980000}"/>
            </a:ext>
          </a:extLst>
        </xdr:cNvPr>
        <xdr:cNvSpPr/>
      </xdr:nvSpPr>
      <xdr:spPr>
        <a:xfrm>
          <a:off x="18888075" y="152400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81</xdr:row>
      <xdr:rowOff>85725</xdr:rowOff>
    </xdr:from>
    <xdr:to>
      <xdr:col>200</xdr:col>
      <xdr:colOff>0</xdr:colOff>
      <xdr:row>81</xdr:row>
      <xdr:rowOff>85725</xdr:rowOff>
    </xdr:to>
    <xdr:cxnSp macro="">
      <xdr:nvCxnSpPr>
        <xdr:cNvPr id="39125" name="직선 화살표 연결선 39124">
          <a:extLst>
            <a:ext uri="{FF2B5EF4-FFF2-40B4-BE49-F238E27FC236}">
              <a16:creationId xmlns:a16="http://schemas.microsoft.com/office/drawing/2014/main" id="{00000000-0008-0000-0100-0000D5980000}"/>
            </a:ext>
          </a:extLst>
        </xdr:cNvPr>
        <xdr:cNvCxnSpPr/>
      </xdr:nvCxnSpPr>
      <xdr:spPr>
        <a:xfrm>
          <a:off x="18888075" y="1529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19050</xdr:rowOff>
    </xdr:from>
    <xdr:to>
      <xdr:col>260</xdr:col>
      <xdr:colOff>1270</xdr:colOff>
      <xdr:row>80</xdr:row>
      <xdr:rowOff>133350</xdr:rowOff>
    </xdr:to>
    <xdr:sp macro="" textlink="">
      <xdr:nvSpPr>
        <xdr:cNvPr id="39126" name="77">
          <a:extLst>
            <a:ext uri="{FF2B5EF4-FFF2-40B4-BE49-F238E27FC236}">
              <a16:creationId xmlns:a16="http://schemas.microsoft.com/office/drawing/2014/main" id="{00000000-0008-0000-0100-0000D6980000}"/>
            </a:ext>
          </a:extLst>
        </xdr:cNvPr>
        <xdr:cNvSpPr/>
      </xdr:nvSpPr>
      <xdr:spPr>
        <a:xfrm>
          <a:off x="18888075" y="1507807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76200</xdr:rowOff>
    </xdr:from>
    <xdr:to>
      <xdr:col>200</xdr:col>
      <xdr:colOff>0</xdr:colOff>
      <xdr:row>80</xdr:row>
      <xdr:rowOff>76200</xdr:rowOff>
    </xdr:to>
    <xdr:cxnSp macro="">
      <xdr:nvCxnSpPr>
        <xdr:cNvPr id="39127" name="직선 화살표 연결선 39126">
          <a:extLst>
            <a:ext uri="{FF2B5EF4-FFF2-40B4-BE49-F238E27FC236}">
              <a16:creationId xmlns:a16="http://schemas.microsoft.com/office/drawing/2014/main" id="{00000000-0008-0000-0100-0000D7980000}"/>
            </a:ext>
          </a:extLst>
        </xdr:cNvPr>
        <xdr:cNvCxnSpPr/>
      </xdr:nvCxnSpPr>
      <xdr:spPr>
        <a:xfrm>
          <a:off x="18888075" y="15135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79</xdr:row>
      <xdr:rowOff>28575</xdr:rowOff>
    </xdr:from>
    <xdr:to>
      <xdr:col>260</xdr:col>
      <xdr:colOff>1270</xdr:colOff>
      <xdr:row>79</xdr:row>
      <xdr:rowOff>142875</xdr:rowOff>
    </xdr:to>
    <xdr:sp macro="" textlink="">
      <xdr:nvSpPr>
        <xdr:cNvPr id="39128" name="76">
          <a:extLst>
            <a:ext uri="{FF2B5EF4-FFF2-40B4-BE49-F238E27FC236}">
              <a16:creationId xmlns:a16="http://schemas.microsoft.com/office/drawing/2014/main" id="{00000000-0008-0000-0100-0000D8980000}"/>
            </a:ext>
          </a:extLst>
        </xdr:cNvPr>
        <xdr:cNvSpPr/>
      </xdr:nvSpPr>
      <xdr:spPr>
        <a:xfrm>
          <a:off x="20545425" y="149161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79</xdr:row>
      <xdr:rowOff>85725</xdr:rowOff>
    </xdr:from>
    <xdr:to>
      <xdr:col>229</xdr:col>
      <xdr:colOff>0</xdr:colOff>
      <xdr:row>79</xdr:row>
      <xdr:rowOff>85725</xdr:rowOff>
    </xdr:to>
    <xdr:cxnSp macro="">
      <xdr:nvCxnSpPr>
        <xdr:cNvPr id="39129" name="직선 화살표 연결선 39128">
          <a:extLst>
            <a:ext uri="{FF2B5EF4-FFF2-40B4-BE49-F238E27FC236}">
              <a16:creationId xmlns:a16="http://schemas.microsoft.com/office/drawing/2014/main" id="{00000000-0008-0000-0100-0000D9980000}"/>
            </a:ext>
          </a:extLst>
        </xdr:cNvPr>
        <xdr:cNvCxnSpPr/>
      </xdr:nvCxnSpPr>
      <xdr:spPr>
        <a:xfrm>
          <a:off x="20545425" y="14973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78</xdr:row>
      <xdr:rowOff>85725</xdr:rowOff>
    </xdr:from>
    <xdr:to>
      <xdr:col>240</xdr:col>
      <xdr:colOff>1270</xdr:colOff>
      <xdr:row>78</xdr:row>
      <xdr:rowOff>200025</xdr:rowOff>
    </xdr:to>
    <xdr:sp macro="" textlink="">
      <xdr:nvSpPr>
        <xdr:cNvPr id="39130" name="75">
          <a:extLst>
            <a:ext uri="{FF2B5EF4-FFF2-40B4-BE49-F238E27FC236}">
              <a16:creationId xmlns:a16="http://schemas.microsoft.com/office/drawing/2014/main" id="{00000000-0008-0000-0100-0000DA980000}"/>
            </a:ext>
          </a:extLst>
        </xdr:cNvPr>
        <xdr:cNvSpPr/>
      </xdr:nvSpPr>
      <xdr:spPr>
        <a:xfrm>
          <a:off x="18888075" y="1468755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78</xdr:row>
      <xdr:rowOff>142875</xdr:rowOff>
    </xdr:from>
    <xdr:to>
      <xdr:col>200</xdr:col>
      <xdr:colOff>0</xdr:colOff>
      <xdr:row>78</xdr:row>
      <xdr:rowOff>142875</xdr:rowOff>
    </xdr:to>
    <xdr:cxnSp macro="">
      <xdr:nvCxnSpPr>
        <xdr:cNvPr id="39131" name="직선 화살표 연결선 39130">
          <a:extLst>
            <a:ext uri="{FF2B5EF4-FFF2-40B4-BE49-F238E27FC236}">
              <a16:creationId xmlns:a16="http://schemas.microsoft.com/office/drawing/2014/main" id="{00000000-0008-0000-0100-0000DB980000}"/>
            </a:ext>
          </a:extLst>
        </xdr:cNvPr>
        <xdr:cNvCxnSpPr/>
      </xdr:nvCxnSpPr>
      <xdr:spPr>
        <a:xfrm>
          <a:off x="18888075"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77</xdr:row>
      <xdr:rowOff>28575</xdr:rowOff>
    </xdr:from>
    <xdr:to>
      <xdr:col>229</xdr:col>
      <xdr:colOff>1270</xdr:colOff>
      <xdr:row>77</xdr:row>
      <xdr:rowOff>142875</xdr:rowOff>
    </xdr:to>
    <xdr:sp macro="" textlink="">
      <xdr:nvSpPr>
        <xdr:cNvPr id="39132" name="74">
          <a:extLst>
            <a:ext uri="{FF2B5EF4-FFF2-40B4-BE49-F238E27FC236}">
              <a16:creationId xmlns:a16="http://schemas.microsoft.com/office/drawing/2014/main" id="{00000000-0008-0000-0100-0000DC980000}"/>
            </a:ext>
          </a:extLst>
        </xdr:cNvPr>
        <xdr:cNvSpPr/>
      </xdr:nvSpPr>
      <xdr:spPr>
        <a:xfrm>
          <a:off x="15344775" y="1445895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77</xdr:row>
      <xdr:rowOff>85725</xdr:rowOff>
    </xdr:from>
    <xdr:to>
      <xdr:col>138</xdr:col>
      <xdr:colOff>0</xdr:colOff>
      <xdr:row>77</xdr:row>
      <xdr:rowOff>85725</xdr:rowOff>
    </xdr:to>
    <xdr:cxnSp macro="">
      <xdr:nvCxnSpPr>
        <xdr:cNvPr id="39133" name="직선 화살표 연결선 39132">
          <a:extLst>
            <a:ext uri="{FF2B5EF4-FFF2-40B4-BE49-F238E27FC236}">
              <a16:creationId xmlns:a16="http://schemas.microsoft.com/office/drawing/2014/main" id="{00000000-0008-0000-0100-0000DD980000}"/>
            </a:ext>
          </a:extLst>
        </xdr:cNvPr>
        <xdr:cNvCxnSpPr/>
      </xdr:nvCxnSpPr>
      <xdr:spPr>
        <a:xfrm>
          <a:off x="15344775" y="1451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76</xdr:row>
      <xdr:rowOff>85725</xdr:rowOff>
    </xdr:from>
    <xdr:to>
      <xdr:col>138</xdr:col>
      <xdr:colOff>1270</xdr:colOff>
      <xdr:row>76</xdr:row>
      <xdr:rowOff>200025</xdr:rowOff>
    </xdr:to>
    <xdr:sp macro="" textlink="">
      <xdr:nvSpPr>
        <xdr:cNvPr id="39134" name="73">
          <a:extLst>
            <a:ext uri="{FF2B5EF4-FFF2-40B4-BE49-F238E27FC236}">
              <a16:creationId xmlns:a16="http://schemas.microsoft.com/office/drawing/2014/main" id="{00000000-0008-0000-0100-0000DE980000}"/>
            </a:ext>
          </a:extLst>
        </xdr:cNvPr>
        <xdr:cNvSpPr/>
      </xdr:nvSpPr>
      <xdr:spPr>
        <a:xfrm>
          <a:off x="11801475" y="142303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76</xdr:row>
      <xdr:rowOff>142875</xdr:rowOff>
    </xdr:from>
    <xdr:to>
      <xdr:col>87</xdr:col>
      <xdr:colOff>46348</xdr:colOff>
      <xdr:row>76</xdr:row>
      <xdr:rowOff>142875</xdr:rowOff>
    </xdr:to>
    <xdr:cxnSp macro="">
      <xdr:nvCxnSpPr>
        <xdr:cNvPr id="39135" name="직선 화살표 연결선 39134">
          <a:extLst>
            <a:ext uri="{FF2B5EF4-FFF2-40B4-BE49-F238E27FC236}">
              <a16:creationId xmlns:a16="http://schemas.microsoft.com/office/drawing/2014/main" id="{00000000-0008-0000-0100-0000DF980000}"/>
            </a:ext>
          </a:extLst>
        </xdr:cNvPr>
        <xdr:cNvCxnSpPr/>
      </xdr:nvCxnSpPr>
      <xdr:spPr>
        <a:xfrm>
          <a:off x="11801475" y="14287500"/>
          <a:ext cx="6749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75</xdr:row>
      <xdr:rowOff>28575</xdr:rowOff>
    </xdr:from>
    <xdr:to>
      <xdr:col>198</xdr:col>
      <xdr:colOff>1270</xdr:colOff>
      <xdr:row>75</xdr:row>
      <xdr:rowOff>142875</xdr:rowOff>
    </xdr:to>
    <xdr:sp macro="" textlink="">
      <xdr:nvSpPr>
        <xdr:cNvPr id="39136" name="72">
          <a:extLst>
            <a:ext uri="{FF2B5EF4-FFF2-40B4-BE49-F238E27FC236}">
              <a16:creationId xmlns:a16="http://schemas.microsoft.com/office/drawing/2014/main" id="{00000000-0008-0000-0100-0000E0980000}"/>
            </a:ext>
          </a:extLst>
        </xdr:cNvPr>
        <xdr:cNvSpPr/>
      </xdr:nvSpPr>
      <xdr:spPr>
        <a:xfrm>
          <a:off x="15344775" y="1400175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75</xdr:row>
      <xdr:rowOff>85725</xdr:rowOff>
    </xdr:from>
    <xdr:to>
      <xdr:col>138</xdr:col>
      <xdr:colOff>0</xdr:colOff>
      <xdr:row>75</xdr:row>
      <xdr:rowOff>85725</xdr:rowOff>
    </xdr:to>
    <xdr:cxnSp macro="">
      <xdr:nvCxnSpPr>
        <xdr:cNvPr id="39137" name="직선 화살표 연결선 39136">
          <a:extLst>
            <a:ext uri="{FF2B5EF4-FFF2-40B4-BE49-F238E27FC236}">
              <a16:creationId xmlns:a16="http://schemas.microsoft.com/office/drawing/2014/main" id="{00000000-0008-0000-0100-0000E1980000}"/>
            </a:ext>
          </a:extLst>
        </xdr:cNvPr>
        <xdr:cNvCxnSpPr/>
      </xdr:nvCxnSpPr>
      <xdr:spPr>
        <a:xfrm>
          <a:off x="15344775" y="1405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74</xdr:row>
      <xdr:rowOff>19050</xdr:rowOff>
    </xdr:from>
    <xdr:to>
      <xdr:col>260</xdr:col>
      <xdr:colOff>1270</xdr:colOff>
      <xdr:row>74</xdr:row>
      <xdr:rowOff>133350</xdr:rowOff>
    </xdr:to>
    <xdr:sp macro="" textlink="">
      <xdr:nvSpPr>
        <xdr:cNvPr id="39138" name="71">
          <a:extLst>
            <a:ext uri="{FF2B5EF4-FFF2-40B4-BE49-F238E27FC236}">
              <a16:creationId xmlns:a16="http://schemas.microsoft.com/office/drawing/2014/main" id="{00000000-0008-0000-0100-0000E2980000}"/>
            </a:ext>
          </a:extLst>
        </xdr:cNvPr>
        <xdr:cNvSpPr/>
      </xdr:nvSpPr>
      <xdr:spPr>
        <a:xfrm>
          <a:off x="11801475" y="138398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74</xdr:row>
      <xdr:rowOff>76200</xdr:rowOff>
    </xdr:from>
    <xdr:to>
      <xdr:col>83</xdr:col>
      <xdr:colOff>31413</xdr:colOff>
      <xdr:row>74</xdr:row>
      <xdr:rowOff>76200</xdr:rowOff>
    </xdr:to>
    <xdr:cxnSp macro="">
      <xdr:nvCxnSpPr>
        <xdr:cNvPr id="39139" name="직선 화살표 연결선 39138">
          <a:extLst>
            <a:ext uri="{FF2B5EF4-FFF2-40B4-BE49-F238E27FC236}">
              <a16:creationId xmlns:a16="http://schemas.microsoft.com/office/drawing/2014/main" id="{00000000-0008-0000-0100-0000E3980000}"/>
            </a:ext>
          </a:extLst>
        </xdr:cNvPr>
        <xdr:cNvCxnSpPr/>
      </xdr:nvCxnSpPr>
      <xdr:spPr>
        <a:xfrm>
          <a:off x="11801475" y="13896975"/>
          <a:ext cx="431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39140" name="70">
          <a:extLst>
            <a:ext uri="{FF2B5EF4-FFF2-40B4-BE49-F238E27FC236}">
              <a16:creationId xmlns:a16="http://schemas.microsoft.com/office/drawing/2014/main" id="{00000000-0008-0000-0100-0000E4980000}"/>
            </a:ext>
          </a:extLst>
        </xdr:cNvPr>
        <xdr:cNvSpPr/>
      </xdr:nvSpPr>
      <xdr:spPr>
        <a:xfrm>
          <a:off x="11801475" y="136874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79</xdr:col>
      <xdr:colOff>18472</xdr:colOff>
      <xdr:row>73</xdr:row>
      <xdr:rowOff>76200</xdr:rowOff>
    </xdr:to>
    <xdr:cxnSp macro="">
      <xdr:nvCxnSpPr>
        <xdr:cNvPr id="39141" name="직선 화살표 연결선 39140">
          <a:extLst>
            <a:ext uri="{FF2B5EF4-FFF2-40B4-BE49-F238E27FC236}">
              <a16:creationId xmlns:a16="http://schemas.microsoft.com/office/drawing/2014/main" id="{00000000-0008-0000-0100-0000E5980000}"/>
            </a:ext>
          </a:extLst>
        </xdr:cNvPr>
        <xdr:cNvCxnSpPr/>
      </xdr:nvCxnSpPr>
      <xdr:spPr>
        <a:xfrm>
          <a:off x="11801475" y="13744575"/>
          <a:ext cx="1899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72</xdr:row>
      <xdr:rowOff>47625</xdr:rowOff>
    </xdr:from>
    <xdr:to>
      <xdr:col>181</xdr:col>
      <xdr:colOff>12700</xdr:colOff>
      <xdr:row>72</xdr:row>
      <xdr:rowOff>174625</xdr:rowOff>
    </xdr:to>
    <xdr:sp macro="" textlink="">
      <xdr:nvSpPr>
        <xdr:cNvPr id="39142" name="69">
          <a:extLst>
            <a:ext uri="{FF2B5EF4-FFF2-40B4-BE49-F238E27FC236}">
              <a16:creationId xmlns:a16="http://schemas.microsoft.com/office/drawing/2014/main" id="{00000000-0008-0000-0100-0000E6980000}"/>
            </a:ext>
          </a:extLst>
        </xdr:cNvPr>
        <xdr:cNvSpPr/>
      </xdr:nvSpPr>
      <xdr:spPr>
        <a:xfrm>
          <a:off x="17687925" y="13506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47625</xdr:rowOff>
    </xdr:from>
    <xdr:to>
      <xdr:col>205</xdr:col>
      <xdr:colOff>1270</xdr:colOff>
      <xdr:row>71</xdr:row>
      <xdr:rowOff>161925</xdr:rowOff>
    </xdr:to>
    <xdr:sp macro="" textlink="">
      <xdr:nvSpPr>
        <xdr:cNvPr id="39143" name="68">
          <a:extLst>
            <a:ext uri="{FF2B5EF4-FFF2-40B4-BE49-F238E27FC236}">
              <a16:creationId xmlns:a16="http://schemas.microsoft.com/office/drawing/2014/main" id="{00000000-0008-0000-0100-0000E7980000}"/>
            </a:ext>
          </a:extLst>
        </xdr:cNvPr>
        <xdr:cNvSpPr/>
      </xdr:nvSpPr>
      <xdr:spPr>
        <a:xfrm>
          <a:off x="17687925" y="132969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104775</xdr:rowOff>
    </xdr:from>
    <xdr:to>
      <xdr:col>179</xdr:col>
      <xdr:colOff>0</xdr:colOff>
      <xdr:row>71</xdr:row>
      <xdr:rowOff>104775</xdr:rowOff>
    </xdr:to>
    <xdr:cxnSp macro="">
      <xdr:nvCxnSpPr>
        <xdr:cNvPr id="39144" name="직선 화살표 연결선 39143">
          <a:extLst>
            <a:ext uri="{FF2B5EF4-FFF2-40B4-BE49-F238E27FC236}">
              <a16:creationId xmlns:a16="http://schemas.microsoft.com/office/drawing/2014/main" id="{00000000-0008-0000-0100-0000E8980000}"/>
            </a:ext>
          </a:extLst>
        </xdr:cNvPr>
        <xdr:cNvCxnSpPr/>
      </xdr:nvCxnSpPr>
      <xdr:spPr>
        <a:xfrm>
          <a:off x="17687925" y="13354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70</xdr:row>
      <xdr:rowOff>47625</xdr:rowOff>
    </xdr:from>
    <xdr:to>
      <xdr:col>205</xdr:col>
      <xdr:colOff>1270</xdr:colOff>
      <xdr:row>70</xdr:row>
      <xdr:rowOff>161925</xdr:rowOff>
    </xdr:to>
    <xdr:sp macro="" textlink="">
      <xdr:nvSpPr>
        <xdr:cNvPr id="39145" name="67">
          <a:extLst>
            <a:ext uri="{FF2B5EF4-FFF2-40B4-BE49-F238E27FC236}">
              <a16:creationId xmlns:a16="http://schemas.microsoft.com/office/drawing/2014/main" id="{00000000-0008-0000-0100-0000E9980000}"/>
            </a:ext>
          </a:extLst>
        </xdr:cNvPr>
        <xdr:cNvSpPr/>
      </xdr:nvSpPr>
      <xdr:spPr>
        <a:xfrm>
          <a:off x="16487775" y="130873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70</xdr:row>
      <xdr:rowOff>104775</xdr:rowOff>
    </xdr:from>
    <xdr:to>
      <xdr:col>158</xdr:col>
      <xdr:colOff>0</xdr:colOff>
      <xdr:row>70</xdr:row>
      <xdr:rowOff>104775</xdr:rowOff>
    </xdr:to>
    <xdr:cxnSp macro="">
      <xdr:nvCxnSpPr>
        <xdr:cNvPr id="39146" name="직선 화살표 연결선 39145">
          <a:extLst>
            <a:ext uri="{FF2B5EF4-FFF2-40B4-BE49-F238E27FC236}">
              <a16:creationId xmlns:a16="http://schemas.microsoft.com/office/drawing/2014/main" id="{00000000-0008-0000-0100-0000EA980000}"/>
            </a:ext>
          </a:extLst>
        </xdr:cNvPr>
        <xdr:cNvCxnSpPr/>
      </xdr:nvCxnSpPr>
      <xdr:spPr>
        <a:xfrm>
          <a:off x="16487775" y="13144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19050</xdr:rowOff>
    </xdr:from>
    <xdr:to>
      <xdr:col>205</xdr:col>
      <xdr:colOff>1270</xdr:colOff>
      <xdr:row>69</xdr:row>
      <xdr:rowOff>133350</xdr:rowOff>
    </xdr:to>
    <xdr:sp macro="" textlink="">
      <xdr:nvSpPr>
        <xdr:cNvPr id="39147" name="66">
          <a:extLst>
            <a:ext uri="{FF2B5EF4-FFF2-40B4-BE49-F238E27FC236}">
              <a16:creationId xmlns:a16="http://schemas.microsoft.com/office/drawing/2014/main" id="{00000000-0008-0000-0100-0000EB980000}"/>
            </a:ext>
          </a:extLst>
        </xdr:cNvPr>
        <xdr:cNvSpPr/>
      </xdr:nvSpPr>
      <xdr:spPr>
        <a:xfrm>
          <a:off x="16487775" y="12906375"/>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76200</xdr:rowOff>
    </xdr:from>
    <xdr:to>
      <xdr:col>158</xdr:col>
      <xdr:colOff>0</xdr:colOff>
      <xdr:row>69</xdr:row>
      <xdr:rowOff>76200</xdr:rowOff>
    </xdr:to>
    <xdr:cxnSp macro="">
      <xdr:nvCxnSpPr>
        <xdr:cNvPr id="39148" name="직선 화살표 연결선 39147">
          <a:extLst>
            <a:ext uri="{FF2B5EF4-FFF2-40B4-BE49-F238E27FC236}">
              <a16:creationId xmlns:a16="http://schemas.microsoft.com/office/drawing/2014/main" id="{00000000-0008-0000-0100-0000EC980000}"/>
            </a:ext>
          </a:extLst>
        </xdr:cNvPr>
        <xdr:cNvCxnSpPr/>
      </xdr:nvCxnSpPr>
      <xdr:spPr>
        <a:xfrm>
          <a:off x="16487775" y="12963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68</xdr:row>
      <xdr:rowOff>85725</xdr:rowOff>
    </xdr:from>
    <xdr:to>
      <xdr:col>229</xdr:col>
      <xdr:colOff>1270</xdr:colOff>
      <xdr:row>68</xdr:row>
      <xdr:rowOff>200025</xdr:rowOff>
    </xdr:to>
    <xdr:sp macro="" textlink="">
      <xdr:nvSpPr>
        <xdr:cNvPr id="39149" name="65">
          <a:extLst>
            <a:ext uri="{FF2B5EF4-FFF2-40B4-BE49-F238E27FC236}">
              <a16:creationId xmlns:a16="http://schemas.microsoft.com/office/drawing/2014/main" id="{00000000-0008-0000-0100-0000ED980000}"/>
            </a:ext>
          </a:extLst>
        </xdr:cNvPr>
        <xdr:cNvSpPr/>
      </xdr:nvSpPr>
      <xdr:spPr>
        <a:xfrm>
          <a:off x="13687425" y="126873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68</xdr:row>
      <xdr:rowOff>142875</xdr:rowOff>
    </xdr:from>
    <xdr:to>
      <xdr:col>109</xdr:col>
      <xdr:colOff>0</xdr:colOff>
      <xdr:row>68</xdr:row>
      <xdr:rowOff>142875</xdr:rowOff>
    </xdr:to>
    <xdr:cxnSp macro="">
      <xdr:nvCxnSpPr>
        <xdr:cNvPr id="39150" name="직선 화살표 연결선 39149">
          <a:extLst>
            <a:ext uri="{FF2B5EF4-FFF2-40B4-BE49-F238E27FC236}">
              <a16:creationId xmlns:a16="http://schemas.microsoft.com/office/drawing/2014/main" id="{00000000-0008-0000-0100-0000EE980000}"/>
            </a:ext>
          </a:extLst>
        </xdr:cNvPr>
        <xdr:cNvCxnSpPr/>
      </xdr:nvCxnSpPr>
      <xdr:spPr>
        <a:xfrm>
          <a:off x="13687425" y="12744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19050</xdr:rowOff>
    </xdr:from>
    <xdr:to>
      <xdr:col>229</xdr:col>
      <xdr:colOff>1270</xdr:colOff>
      <xdr:row>67</xdr:row>
      <xdr:rowOff>133350</xdr:rowOff>
    </xdr:to>
    <xdr:sp macro="" textlink="">
      <xdr:nvSpPr>
        <xdr:cNvPr id="39151" name="64">
          <a:extLst>
            <a:ext uri="{FF2B5EF4-FFF2-40B4-BE49-F238E27FC236}">
              <a16:creationId xmlns:a16="http://schemas.microsoft.com/office/drawing/2014/main" id="{00000000-0008-0000-0100-0000EF980000}"/>
            </a:ext>
          </a:extLst>
        </xdr:cNvPr>
        <xdr:cNvSpPr/>
      </xdr:nvSpPr>
      <xdr:spPr>
        <a:xfrm>
          <a:off x="13687425" y="124682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76200</xdr:rowOff>
    </xdr:from>
    <xdr:to>
      <xdr:col>109</xdr:col>
      <xdr:colOff>0</xdr:colOff>
      <xdr:row>67</xdr:row>
      <xdr:rowOff>76200</xdr:rowOff>
    </xdr:to>
    <xdr:cxnSp macro="">
      <xdr:nvCxnSpPr>
        <xdr:cNvPr id="39152" name="직선 화살표 연결선 39151">
          <a:extLst>
            <a:ext uri="{FF2B5EF4-FFF2-40B4-BE49-F238E27FC236}">
              <a16:creationId xmlns:a16="http://schemas.microsoft.com/office/drawing/2014/main" id="{00000000-0008-0000-0100-0000F0980000}"/>
            </a:ext>
          </a:extLst>
        </xdr:cNvPr>
        <xdr:cNvCxnSpPr/>
      </xdr:nvCxnSpPr>
      <xdr:spPr>
        <a:xfrm>
          <a:off x="13687425" y="12525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85725</xdr:rowOff>
    </xdr:from>
    <xdr:to>
      <xdr:col>229</xdr:col>
      <xdr:colOff>1270</xdr:colOff>
      <xdr:row>66</xdr:row>
      <xdr:rowOff>200025</xdr:rowOff>
    </xdr:to>
    <xdr:sp macro="" textlink="">
      <xdr:nvSpPr>
        <xdr:cNvPr id="39153" name="63">
          <a:extLst>
            <a:ext uri="{FF2B5EF4-FFF2-40B4-BE49-F238E27FC236}">
              <a16:creationId xmlns:a16="http://schemas.microsoft.com/office/drawing/2014/main" id="{00000000-0008-0000-0100-0000F1980000}"/>
            </a:ext>
          </a:extLst>
        </xdr:cNvPr>
        <xdr:cNvSpPr/>
      </xdr:nvSpPr>
      <xdr:spPr>
        <a:xfrm>
          <a:off x="13687425" y="122491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142875</xdr:rowOff>
    </xdr:from>
    <xdr:to>
      <xdr:col>109</xdr:col>
      <xdr:colOff>0</xdr:colOff>
      <xdr:row>66</xdr:row>
      <xdr:rowOff>142875</xdr:rowOff>
    </xdr:to>
    <xdr:cxnSp macro="">
      <xdr:nvCxnSpPr>
        <xdr:cNvPr id="39154" name="직선 화살표 연결선 39153">
          <a:extLst>
            <a:ext uri="{FF2B5EF4-FFF2-40B4-BE49-F238E27FC236}">
              <a16:creationId xmlns:a16="http://schemas.microsoft.com/office/drawing/2014/main" id="{00000000-0008-0000-0100-0000F2980000}"/>
            </a:ext>
          </a:extLst>
        </xdr:cNvPr>
        <xdr:cNvCxnSpPr/>
      </xdr:nvCxnSpPr>
      <xdr:spPr>
        <a:xfrm>
          <a:off x="13687425" y="1230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19050</xdr:rowOff>
    </xdr:from>
    <xdr:to>
      <xdr:col>229</xdr:col>
      <xdr:colOff>1270</xdr:colOff>
      <xdr:row>65</xdr:row>
      <xdr:rowOff>133350</xdr:rowOff>
    </xdr:to>
    <xdr:sp macro="" textlink="">
      <xdr:nvSpPr>
        <xdr:cNvPr id="39155" name="62">
          <a:extLst>
            <a:ext uri="{FF2B5EF4-FFF2-40B4-BE49-F238E27FC236}">
              <a16:creationId xmlns:a16="http://schemas.microsoft.com/office/drawing/2014/main" id="{00000000-0008-0000-0100-0000F3980000}"/>
            </a:ext>
          </a:extLst>
        </xdr:cNvPr>
        <xdr:cNvSpPr/>
      </xdr:nvSpPr>
      <xdr:spPr>
        <a:xfrm>
          <a:off x="13687425" y="1203007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76200</xdr:rowOff>
    </xdr:from>
    <xdr:to>
      <xdr:col>109</xdr:col>
      <xdr:colOff>0</xdr:colOff>
      <xdr:row>65</xdr:row>
      <xdr:rowOff>76200</xdr:rowOff>
    </xdr:to>
    <xdr:cxnSp macro="">
      <xdr:nvCxnSpPr>
        <xdr:cNvPr id="39156" name="직선 화살표 연결선 39155">
          <a:extLst>
            <a:ext uri="{FF2B5EF4-FFF2-40B4-BE49-F238E27FC236}">
              <a16:creationId xmlns:a16="http://schemas.microsoft.com/office/drawing/2014/main" id="{00000000-0008-0000-0100-0000F4980000}"/>
            </a:ext>
          </a:extLst>
        </xdr:cNvPr>
        <xdr:cNvCxnSpPr/>
      </xdr:nvCxnSpPr>
      <xdr:spPr>
        <a:xfrm>
          <a:off x="13687425" y="1208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64</xdr:row>
      <xdr:rowOff>28575</xdr:rowOff>
    </xdr:from>
    <xdr:to>
      <xdr:col>202</xdr:col>
      <xdr:colOff>12700</xdr:colOff>
      <xdr:row>64</xdr:row>
      <xdr:rowOff>155575</xdr:rowOff>
    </xdr:to>
    <xdr:sp macro="" textlink="">
      <xdr:nvSpPr>
        <xdr:cNvPr id="39157" name="61">
          <a:extLst>
            <a:ext uri="{FF2B5EF4-FFF2-40B4-BE49-F238E27FC236}">
              <a16:creationId xmlns:a16="http://schemas.microsoft.com/office/drawing/2014/main" id="{00000000-0008-0000-0100-0000F5980000}"/>
            </a:ext>
          </a:extLst>
        </xdr:cNvPr>
        <xdr:cNvSpPr/>
      </xdr:nvSpPr>
      <xdr:spPr>
        <a:xfrm>
          <a:off x="18888075" y="118681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28575</xdr:rowOff>
    </xdr:from>
    <xdr:to>
      <xdr:col>229</xdr:col>
      <xdr:colOff>1270</xdr:colOff>
      <xdr:row>63</xdr:row>
      <xdr:rowOff>142875</xdr:rowOff>
    </xdr:to>
    <xdr:sp macro="" textlink="">
      <xdr:nvSpPr>
        <xdr:cNvPr id="39158" name="60">
          <a:extLst>
            <a:ext uri="{FF2B5EF4-FFF2-40B4-BE49-F238E27FC236}">
              <a16:creationId xmlns:a16="http://schemas.microsoft.com/office/drawing/2014/main" id="{00000000-0008-0000-0100-0000F6980000}"/>
            </a:ext>
          </a:extLst>
        </xdr:cNvPr>
        <xdr:cNvSpPr/>
      </xdr:nvSpPr>
      <xdr:spPr>
        <a:xfrm>
          <a:off x="13687425" y="116967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85725</xdr:rowOff>
    </xdr:from>
    <xdr:to>
      <xdr:col>109</xdr:col>
      <xdr:colOff>0</xdr:colOff>
      <xdr:row>63</xdr:row>
      <xdr:rowOff>85725</xdr:rowOff>
    </xdr:to>
    <xdr:cxnSp macro="">
      <xdr:nvCxnSpPr>
        <xdr:cNvPr id="39159" name="직선 화살표 연결선 39158">
          <a:extLst>
            <a:ext uri="{FF2B5EF4-FFF2-40B4-BE49-F238E27FC236}">
              <a16:creationId xmlns:a16="http://schemas.microsoft.com/office/drawing/2014/main" id="{00000000-0008-0000-0100-0000F7980000}"/>
            </a:ext>
          </a:extLst>
        </xdr:cNvPr>
        <xdr:cNvCxnSpPr/>
      </xdr:nvCxnSpPr>
      <xdr:spPr>
        <a:xfrm>
          <a:off x="13687425" y="117538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62</xdr:row>
      <xdr:rowOff>28575</xdr:rowOff>
    </xdr:from>
    <xdr:to>
      <xdr:col>229</xdr:col>
      <xdr:colOff>1270</xdr:colOff>
      <xdr:row>62</xdr:row>
      <xdr:rowOff>142875</xdr:rowOff>
    </xdr:to>
    <xdr:sp macro="" textlink="">
      <xdr:nvSpPr>
        <xdr:cNvPr id="39160" name="59">
          <a:extLst>
            <a:ext uri="{FF2B5EF4-FFF2-40B4-BE49-F238E27FC236}">
              <a16:creationId xmlns:a16="http://schemas.microsoft.com/office/drawing/2014/main" id="{00000000-0008-0000-0100-0000F8980000}"/>
            </a:ext>
          </a:extLst>
        </xdr:cNvPr>
        <xdr:cNvSpPr/>
      </xdr:nvSpPr>
      <xdr:spPr>
        <a:xfrm>
          <a:off x="13687425" y="115252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39161" name="직선 화살표 연결선 39160">
          <a:extLst>
            <a:ext uri="{FF2B5EF4-FFF2-40B4-BE49-F238E27FC236}">
              <a16:creationId xmlns:a16="http://schemas.microsoft.com/office/drawing/2014/main" id="{00000000-0008-0000-0100-0000F9980000}"/>
            </a:ext>
          </a:extLst>
        </xdr:cNvPr>
        <xdr:cNvCxnSpPr/>
      </xdr:nvCxnSpPr>
      <xdr:spPr>
        <a:xfrm>
          <a:off x="13687425" y="1158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19050</xdr:rowOff>
    </xdr:from>
    <xdr:to>
      <xdr:col>260</xdr:col>
      <xdr:colOff>1270</xdr:colOff>
      <xdr:row>61</xdr:row>
      <xdr:rowOff>133350</xdr:rowOff>
    </xdr:to>
    <xdr:sp macro="" textlink="">
      <xdr:nvSpPr>
        <xdr:cNvPr id="39162" name="58">
          <a:extLst>
            <a:ext uri="{FF2B5EF4-FFF2-40B4-BE49-F238E27FC236}">
              <a16:creationId xmlns:a16="http://schemas.microsoft.com/office/drawing/2014/main" id="{00000000-0008-0000-0100-0000FA980000}"/>
            </a:ext>
          </a:extLst>
        </xdr:cNvPr>
        <xdr:cNvSpPr/>
      </xdr:nvSpPr>
      <xdr:spPr>
        <a:xfrm>
          <a:off x="13687425" y="11363325"/>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76200</xdr:rowOff>
    </xdr:from>
    <xdr:to>
      <xdr:col>109</xdr:col>
      <xdr:colOff>0</xdr:colOff>
      <xdr:row>61</xdr:row>
      <xdr:rowOff>76200</xdr:rowOff>
    </xdr:to>
    <xdr:cxnSp macro="">
      <xdr:nvCxnSpPr>
        <xdr:cNvPr id="39163" name="직선 화살표 연결선 39162">
          <a:extLst>
            <a:ext uri="{FF2B5EF4-FFF2-40B4-BE49-F238E27FC236}">
              <a16:creationId xmlns:a16="http://schemas.microsoft.com/office/drawing/2014/main" id="{00000000-0008-0000-0100-0000FB980000}"/>
            </a:ext>
          </a:extLst>
        </xdr:cNvPr>
        <xdr:cNvCxnSpPr/>
      </xdr:nvCxnSpPr>
      <xdr:spPr>
        <a:xfrm>
          <a:off x="13687425" y="11420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60</xdr:row>
      <xdr:rowOff>28575</xdr:rowOff>
    </xdr:from>
    <xdr:to>
      <xdr:col>229</xdr:col>
      <xdr:colOff>1270</xdr:colOff>
      <xdr:row>60</xdr:row>
      <xdr:rowOff>142875</xdr:rowOff>
    </xdr:to>
    <xdr:sp macro="" textlink="">
      <xdr:nvSpPr>
        <xdr:cNvPr id="39164" name="57">
          <a:extLst>
            <a:ext uri="{FF2B5EF4-FFF2-40B4-BE49-F238E27FC236}">
              <a16:creationId xmlns:a16="http://schemas.microsoft.com/office/drawing/2014/main" id="{00000000-0008-0000-0100-0000FC980000}"/>
            </a:ext>
          </a:extLst>
        </xdr:cNvPr>
        <xdr:cNvSpPr/>
      </xdr:nvSpPr>
      <xdr:spPr>
        <a:xfrm>
          <a:off x="11801475" y="11201400"/>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60</xdr:row>
      <xdr:rowOff>85725</xdr:rowOff>
    </xdr:from>
    <xdr:to>
      <xdr:col>87</xdr:col>
      <xdr:colOff>50755</xdr:colOff>
      <xdr:row>60</xdr:row>
      <xdr:rowOff>85725</xdr:rowOff>
    </xdr:to>
    <xdr:cxnSp macro="">
      <xdr:nvCxnSpPr>
        <xdr:cNvPr id="39165" name="직선 화살표 연결선 39164">
          <a:extLst>
            <a:ext uri="{FF2B5EF4-FFF2-40B4-BE49-F238E27FC236}">
              <a16:creationId xmlns:a16="http://schemas.microsoft.com/office/drawing/2014/main" id="{00000000-0008-0000-0100-0000FD980000}"/>
            </a:ext>
          </a:extLst>
        </xdr:cNvPr>
        <xdr:cNvCxnSpPr/>
      </xdr:nvCxnSpPr>
      <xdr:spPr>
        <a:xfrm>
          <a:off x="11801475" y="11258550"/>
          <a:ext cx="6794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59</xdr:row>
      <xdr:rowOff>28575</xdr:rowOff>
    </xdr:from>
    <xdr:to>
      <xdr:col>198</xdr:col>
      <xdr:colOff>1270</xdr:colOff>
      <xdr:row>59</xdr:row>
      <xdr:rowOff>142875</xdr:rowOff>
    </xdr:to>
    <xdr:sp macro="" textlink="">
      <xdr:nvSpPr>
        <xdr:cNvPr id="39166" name="56">
          <a:extLst>
            <a:ext uri="{FF2B5EF4-FFF2-40B4-BE49-F238E27FC236}">
              <a16:creationId xmlns:a16="http://schemas.microsoft.com/office/drawing/2014/main" id="{00000000-0008-0000-0100-0000FE980000}"/>
            </a:ext>
          </a:extLst>
        </xdr:cNvPr>
        <xdr:cNvSpPr/>
      </xdr:nvSpPr>
      <xdr:spPr>
        <a:xfrm>
          <a:off x="9744075" y="11029950"/>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59</xdr:row>
      <xdr:rowOff>85725</xdr:rowOff>
    </xdr:from>
    <xdr:to>
      <xdr:col>88</xdr:col>
      <xdr:colOff>41559</xdr:colOff>
      <xdr:row>59</xdr:row>
      <xdr:rowOff>85725</xdr:rowOff>
    </xdr:to>
    <xdr:cxnSp macro="">
      <xdr:nvCxnSpPr>
        <xdr:cNvPr id="39167" name="직선 화살표 연결선 39166">
          <a:extLst>
            <a:ext uri="{FF2B5EF4-FFF2-40B4-BE49-F238E27FC236}">
              <a16:creationId xmlns:a16="http://schemas.microsoft.com/office/drawing/2014/main" id="{00000000-0008-0000-0100-0000FF980000}"/>
            </a:ext>
          </a:extLst>
        </xdr:cNvPr>
        <xdr:cNvCxnSpPr/>
      </xdr:nvCxnSpPr>
      <xdr:spPr>
        <a:xfrm>
          <a:off x="9744075" y="11087100"/>
          <a:ext cx="27847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19050</xdr:rowOff>
    </xdr:from>
    <xdr:to>
      <xdr:col>229</xdr:col>
      <xdr:colOff>1270</xdr:colOff>
      <xdr:row>58</xdr:row>
      <xdr:rowOff>133350</xdr:rowOff>
    </xdr:to>
    <xdr:sp macro="" textlink="">
      <xdr:nvSpPr>
        <xdr:cNvPr id="39168" name="55">
          <a:extLst>
            <a:ext uri="{FF2B5EF4-FFF2-40B4-BE49-F238E27FC236}">
              <a16:creationId xmlns:a16="http://schemas.microsoft.com/office/drawing/2014/main" id="{00000000-0008-0000-0100-000000990000}"/>
            </a:ext>
          </a:extLst>
        </xdr:cNvPr>
        <xdr:cNvSpPr/>
      </xdr:nvSpPr>
      <xdr:spPr>
        <a:xfrm>
          <a:off x="9744075" y="10868025"/>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76200</xdr:rowOff>
    </xdr:from>
    <xdr:to>
      <xdr:col>76</xdr:col>
      <xdr:colOff>51533</xdr:colOff>
      <xdr:row>58</xdr:row>
      <xdr:rowOff>76200</xdr:rowOff>
    </xdr:to>
    <xdr:cxnSp macro="">
      <xdr:nvCxnSpPr>
        <xdr:cNvPr id="39169" name="직선 화살표 연결선 39168">
          <a:extLst>
            <a:ext uri="{FF2B5EF4-FFF2-40B4-BE49-F238E27FC236}">
              <a16:creationId xmlns:a16="http://schemas.microsoft.com/office/drawing/2014/main" id="{00000000-0008-0000-0100-000001990000}"/>
            </a:ext>
          </a:extLst>
        </xdr:cNvPr>
        <xdr:cNvCxnSpPr/>
      </xdr:nvCxnSpPr>
      <xdr:spPr>
        <a:xfrm>
          <a:off x="9744075" y="10925175"/>
          <a:ext cx="21089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57</xdr:row>
      <xdr:rowOff>28575</xdr:rowOff>
    </xdr:from>
    <xdr:to>
      <xdr:col>229</xdr:col>
      <xdr:colOff>1270</xdr:colOff>
      <xdr:row>57</xdr:row>
      <xdr:rowOff>142875</xdr:rowOff>
    </xdr:to>
    <xdr:sp macro="" textlink="">
      <xdr:nvSpPr>
        <xdr:cNvPr id="39170" name="54">
          <a:extLst>
            <a:ext uri="{FF2B5EF4-FFF2-40B4-BE49-F238E27FC236}">
              <a16:creationId xmlns:a16="http://schemas.microsoft.com/office/drawing/2014/main" id="{00000000-0008-0000-0100-000002990000}"/>
            </a:ext>
          </a:extLst>
        </xdr:cNvPr>
        <xdr:cNvSpPr/>
      </xdr:nvSpPr>
      <xdr:spPr>
        <a:xfrm>
          <a:off x="15344775" y="107061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57</xdr:row>
      <xdr:rowOff>85725</xdr:rowOff>
    </xdr:from>
    <xdr:to>
      <xdr:col>138</xdr:col>
      <xdr:colOff>0</xdr:colOff>
      <xdr:row>57</xdr:row>
      <xdr:rowOff>85725</xdr:rowOff>
    </xdr:to>
    <xdr:cxnSp macro="">
      <xdr:nvCxnSpPr>
        <xdr:cNvPr id="39171" name="직선 화살표 연결선 39170">
          <a:extLst>
            <a:ext uri="{FF2B5EF4-FFF2-40B4-BE49-F238E27FC236}">
              <a16:creationId xmlns:a16="http://schemas.microsoft.com/office/drawing/2014/main" id="{00000000-0008-0000-0100-000003990000}"/>
            </a:ext>
          </a:extLst>
        </xdr:cNvPr>
        <xdr:cNvCxnSpPr/>
      </xdr:nvCxnSpPr>
      <xdr:spPr>
        <a:xfrm>
          <a:off x="15344775" y="10763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56</xdr:row>
      <xdr:rowOff>28575</xdr:rowOff>
    </xdr:from>
    <xdr:to>
      <xdr:col>229</xdr:col>
      <xdr:colOff>1270</xdr:colOff>
      <xdr:row>56</xdr:row>
      <xdr:rowOff>142875</xdr:rowOff>
    </xdr:to>
    <xdr:sp macro="" textlink="">
      <xdr:nvSpPr>
        <xdr:cNvPr id="39172" name="53">
          <a:extLst>
            <a:ext uri="{FF2B5EF4-FFF2-40B4-BE49-F238E27FC236}">
              <a16:creationId xmlns:a16="http://schemas.microsoft.com/office/drawing/2014/main" id="{00000000-0008-0000-0100-000004990000}"/>
            </a:ext>
          </a:extLst>
        </xdr:cNvPr>
        <xdr:cNvSpPr/>
      </xdr:nvSpPr>
      <xdr:spPr>
        <a:xfrm>
          <a:off x="13687425" y="105346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56</xdr:row>
      <xdr:rowOff>85725</xdr:rowOff>
    </xdr:from>
    <xdr:to>
      <xdr:col>109</xdr:col>
      <xdr:colOff>0</xdr:colOff>
      <xdr:row>56</xdr:row>
      <xdr:rowOff>85725</xdr:rowOff>
    </xdr:to>
    <xdr:cxnSp macro="">
      <xdr:nvCxnSpPr>
        <xdr:cNvPr id="39173" name="직선 화살표 연결선 39172">
          <a:extLst>
            <a:ext uri="{FF2B5EF4-FFF2-40B4-BE49-F238E27FC236}">
              <a16:creationId xmlns:a16="http://schemas.microsoft.com/office/drawing/2014/main" id="{00000000-0008-0000-0100-000005990000}"/>
            </a:ext>
          </a:extLst>
        </xdr:cNvPr>
        <xdr:cNvCxnSpPr/>
      </xdr:nvCxnSpPr>
      <xdr:spPr>
        <a:xfrm>
          <a:off x="13687425" y="1059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19050</xdr:rowOff>
    </xdr:from>
    <xdr:to>
      <xdr:col>229</xdr:col>
      <xdr:colOff>1270</xdr:colOff>
      <xdr:row>55</xdr:row>
      <xdr:rowOff>133350</xdr:rowOff>
    </xdr:to>
    <xdr:sp macro="" textlink="">
      <xdr:nvSpPr>
        <xdr:cNvPr id="39174" name="52">
          <a:extLst>
            <a:ext uri="{FF2B5EF4-FFF2-40B4-BE49-F238E27FC236}">
              <a16:creationId xmlns:a16="http://schemas.microsoft.com/office/drawing/2014/main" id="{00000000-0008-0000-0100-000006990000}"/>
            </a:ext>
          </a:extLst>
        </xdr:cNvPr>
        <xdr:cNvSpPr/>
      </xdr:nvSpPr>
      <xdr:spPr>
        <a:xfrm>
          <a:off x="13687425" y="103727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76200</xdr:rowOff>
    </xdr:from>
    <xdr:to>
      <xdr:col>109</xdr:col>
      <xdr:colOff>0</xdr:colOff>
      <xdr:row>55</xdr:row>
      <xdr:rowOff>76200</xdr:rowOff>
    </xdr:to>
    <xdr:cxnSp macro="">
      <xdr:nvCxnSpPr>
        <xdr:cNvPr id="39175" name="직선 화살표 연결선 39174">
          <a:extLst>
            <a:ext uri="{FF2B5EF4-FFF2-40B4-BE49-F238E27FC236}">
              <a16:creationId xmlns:a16="http://schemas.microsoft.com/office/drawing/2014/main" id="{00000000-0008-0000-0100-000007990000}"/>
            </a:ext>
          </a:extLst>
        </xdr:cNvPr>
        <xdr:cNvCxnSpPr/>
      </xdr:nvCxnSpPr>
      <xdr:spPr>
        <a:xfrm>
          <a:off x="1368742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0</xdr:colOff>
      <xdr:row>54</xdr:row>
      <xdr:rowOff>28575</xdr:rowOff>
    </xdr:from>
    <xdr:to>
      <xdr:col>198</xdr:col>
      <xdr:colOff>1270</xdr:colOff>
      <xdr:row>54</xdr:row>
      <xdr:rowOff>142875</xdr:rowOff>
    </xdr:to>
    <xdr:sp macro="" textlink="">
      <xdr:nvSpPr>
        <xdr:cNvPr id="39176" name="51">
          <a:extLst>
            <a:ext uri="{FF2B5EF4-FFF2-40B4-BE49-F238E27FC236}">
              <a16:creationId xmlns:a16="http://schemas.microsoft.com/office/drawing/2014/main" id="{00000000-0008-0000-0100-000008990000}"/>
            </a:ext>
          </a:extLst>
        </xdr:cNvPr>
        <xdr:cNvSpPr/>
      </xdr:nvSpPr>
      <xdr:spPr>
        <a:xfrm>
          <a:off x="17116425" y="10210800"/>
          <a:ext cx="1658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169</xdr:col>
      <xdr:colOff>0</xdr:colOff>
      <xdr:row>54</xdr:row>
      <xdr:rowOff>85725</xdr:rowOff>
    </xdr:from>
    <xdr:to>
      <xdr:col>169</xdr:col>
      <xdr:colOff>0</xdr:colOff>
      <xdr:row>54</xdr:row>
      <xdr:rowOff>85725</xdr:rowOff>
    </xdr:to>
    <xdr:cxnSp macro="">
      <xdr:nvCxnSpPr>
        <xdr:cNvPr id="39177" name="직선 화살표 연결선 39176">
          <a:extLst>
            <a:ext uri="{FF2B5EF4-FFF2-40B4-BE49-F238E27FC236}">
              <a16:creationId xmlns:a16="http://schemas.microsoft.com/office/drawing/2014/main" id="{00000000-0008-0000-0100-000009990000}"/>
            </a:ext>
          </a:extLst>
        </xdr:cNvPr>
        <xdr:cNvCxnSpPr/>
      </xdr:nvCxnSpPr>
      <xdr:spPr>
        <a:xfrm>
          <a:off x="17116425"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0</xdr:colOff>
      <xdr:row>53</xdr:row>
      <xdr:rowOff>28575</xdr:rowOff>
    </xdr:from>
    <xdr:to>
      <xdr:col>168</xdr:col>
      <xdr:colOff>1270</xdr:colOff>
      <xdr:row>53</xdr:row>
      <xdr:rowOff>142875</xdr:rowOff>
    </xdr:to>
    <xdr:sp macro="" textlink="">
      <xdr:nvSpPr>
        <xdr:cNvPr id="39178" name="50">
          <a:extLst>
            <a:ext uri="{FF2B5EF4-FFF2-40B4-BE49-F238E27FC236}">
              <a16:creationId xmlns:a16="http://schemas.microsoft.com/office/drawing/2014/main" id="{00000000-0008-0000-0100-00000A990000}"/>
            </a:ext>
          </a:extLst>
        </xdr:cNvPr>
        <xdr:cNvSpPr/>
      </xdr:nvSpPr>
      <xdr:spPr>
        <a:xfrm>
          <a:off x="14887575" y="10039350"/>
          <a:ext cx="2172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0</xdr:colOff>
      <xdr:row>53</xdr:row>
      <xdr:rowOff>85725</xdr:rowOff>
    </xdr:from>
    <xdr:to>
      <xdr:col>130</xdr:col>
      <xdr:colOff>0</xdr:colOff>
      <xdr:row>53</xdr:row>
      <xdr:rowOff>85725</xdr:rowOff>
    </xdr:to>
    <xdr:cxnSp macro="">
      <xdr:nvCxnSpPr>
        <xdr:cNvPr id="39179" name="직선 화살표 연결선 39178">
          <a:extLst>
            <a:ext uri="{FF2B5EF4-FFF2-40B4-BE49-F238E27FC236}">
              <a16:creationId xmlns:a16="http://schemas.microsoft.com/office/drawing/2014/main" id="{00000000-0008-0000-0100-00000B990000}"/>
            </a:ext>
          </a:extLst>
        </xdr:cNvPr>
        <xdr:cNvCxnSpPr/>
      </xdr:nvCxnSpPr>
      <xdr:spPr>
        <a:xfrm>
          <a:off x="14887575" y="10096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52</xdr:row>
      <xdr:rowOff>28575</xdr:rowOff>
    </xdr:from>
    <xdr:to>
      <xdr:col>135</xdr:col>
      <xdr:colOff>1270</xdr:colOff>
      <xdr:row>52</xdr:row>
      <xdr:rowOff>142875</xdr:rowOff>
    </xdr:to>
    <xdr:sp macro="" textlink="">
      <xdr:nvSpPr>
        <xdr:cNvPr id="39180" name="49">
          <a:extLst>
            <a:ext uri="{FF2B5EF4-FFF2-40B4-BE49-F238E27FC236}">
              <a16:creationId xmlns:a16="http://schemas.microsoft.com/office/drawing/2014/main" id="{00000000-0008-0000-0100-00000C990000}"/>
            </a:ext>
          </a:extLst>
        </xdr:cNvPr>
        <xdr:cNvSpPr/>
      </xdr:nvSpPr>
      <xdr:spPr>
        <a:xfrm>
          <a:off x="14087475" y="98679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116</xdr:col>
      <xdr:colOff>0</xdr:colOff>
      <xdr:row>52</xdr:row>
      <xdr:rowOff>85725</xdr:rowOff>
    </xdr:from>
    <xdr:to>
      <xdr:col>116</xdr:col>
      <xdr:colOff>0</xdr:colOff>
      <xdr:row>52</xdr:row>
      <xdr:rowOff>85725</xdr:rowOff>
    </xdr:to>
    <xdr:cxnSp macro="">
      <xdr:nvCxnSpPr>
        <xdr:cNvPr id="39181" name="직선 화살표 연결선 39180">
          <a:extLst>
            <a:ext uri="{FF2B5EF4-FFF2-40B4-BE49-F238E27FC236}">
              <a16:creationId xmlns:a16="http://schemas.microsoft.com/office/drawing/2014/main" id="{00000000-0008-0000-0100-00000D990000}"/>
            </a:ext>
          </a:extLst>
        </xdr:cNvPr>
        <xdr:cNvCxnSpPr/>
      </xdr:nvCxnSpPr>
      <xdr:spPr>
        <a:xfrm>
          <a:off x="14087475" y="9925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51</xdr:row>
      <xdr:rowOff>28575</xdr:rowOff>
    </xdr:from>
    <xdr:to>
      <xdr:col>114</xdr:col>
      <xdr:colOff>1270</xdr:colOff>
      <xdr:row>51</xdr:row>
      <xdr:rowOff>142875</xdr:rowOff>
    </xdr:to>
    <xdr:sp macro="" textlink="">
      <xdr:nvSpPr>
        <xdr:cNvPr id="39182" name="48">
          <a:extLst>
            <a:ext uri="{FF2B5EF4-FFF2-40B4-BE49-F238E27FC236}">
              <a16:creationId xmlns:a16="http://schemas.microsoft.com/office/drawing/2014/main" id="{00000000-0008-0000-0100-00000E990000}"/>
            </a:ext>
          </a:extLst>
        </xdr:cNvPr>
        <xdr:cNvSpPr/>
      </xdr:nvSpPr>
      <xdr:spPr>
        <a:xfrm>
          <a:off x="12087225" y="96964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51</xdr:row>
      <xdr:rowOff>85725</xdr:rowOff>
    </xdr:from>
    <xdr:to>
      <xdr:col>87</xdr:col>
      <xdr:colOff>49943</xdr:colOff>
      <xdr:row>51</xdr:row>
      <xdr:rowOff>85725</xdr:rowOff>
    </xdr:to>
    <xdr:cxnSp macro="">
      <xdr:nvCxnSpPr>
        <xdr:cNvPr id="39183" name="직선 화살표 연결선 39182">
          <a:extLst>
            <a:ext uri="{FF2B5EF4-FFF2-40B4-BE49-F238E27FC236}">
              <a16:creationId xmlns:a16="http://schemas.microsoft.com/office/drawing/2014/main" id="{00000000-0008-0000-0100-00000F990000}"/>
            </a:ext>
          </a:extLst>
        </xdr:cNvPr>
        <xdr:cNvCxnSpPr/>
      </xdr:nvCxnSpPr>
      <xdr:spPr>
        <a:xfrm>
          <a:off x="12087225" y="9753600"/>
          <a:ext cx="3928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114</xdr:col>
      <xdr:colOff>1270</xdr:colOff>
      <xdr:row>50</xdr:row>
      <xdr:rowOff>142875</xdr:rowOff>
    </xdr:to>
    <xdr:sp macro="" textlink="">
      <xdr:nvSpPr>
        <xdr:cNvPr id="39184" name="47">
          <a:extLst>
            <a:ext uri="{FF2B5EF4-FFF2-40B4-BE49-F238E27FC236}">
              <a16:creationId xmlns:a16="http://schemas.microsoft.com/office/drawing/2014/main" id="{00000000-0008-0000-0100-000010990000}"/>
            </a:ext>
          </a:extLst>
        </xdr:cNvPr>
        <xdr:cNvSpPr/>
      </xdr:nvSpPr>
      <xdr:spPr>
        <a:xfrm>
          <a:off x="10086975" y="9525000"/>
          <a:ext cx="388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87</xdr:col>
      <xdr:colOff>4892</xdr:colOff>
      <xdr:row>50</xdr:row>
      <xdr:rowOff>85725</xdr:rowOff>
    </xdr:to>
    <xdr:cxnSp macro="">
      <xdr:nvCxnSpPr>
        <xdr:cNvPr id="39185" name="직선 화살표 연결선 39184">
          <a:extLst>
            <a:ext uri="{FF2B5EF4-FFF2-40B4-BE49-F238E27FC236}">
              <a16:creationId xmlns:a16="http://schemas.microsoft.com/office/drawing/2014/main" id="{00000000-0008-0000-0100-000011990000}"/>
            </a:ext>
          </a:extLst>
        </xdr:cNvPr>
        <xdr:cNvCxnSpPr/>
      </xdr:nvCxnSpPr>
      <xdr:spPr>
        <a:xfrm>
          <a:off x="10086975" y="9582150"/>
          <a:ext cx="23480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198</xdr:col>
      <xdr:colOff>1270</xdr:colOff>
      <xdr:row>49</xdr:row>
      <xdr:rowOff>133350</xdr:rowOff>
    </xdr:to>
    <xdr:sp macro="" textlink="">
      <xdr:nvSpPr>
        <xdr:cNvPr id="39186" name="46">
          <a:extLst>
            <a:ext uri="{FF2B5EF4-FFF2-40B4-BE49-F238E27FC236}">
              <a16:creationId xmlns:a16="http://schemas.microsoft.com/office/drawing/2014/main" id="{00000000-0008-0000-0100-000012990000}"/>
            </a:ext>
          </a:extLst>
        </xdr:cNvPr>
        <xdr:cNvSpPr/>
      </xdr:nvSpPr>
      <xdr:spPr>
        <a:xfrm>
          <a:off x="10086975" y="9363075"/>
          <a:ext cx="868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85</xdr:col>
      <xdr:colOff>25792</xdr:colOff>
      <xdr:row>49</xdr:row>
      <xdr:rowOff>76200</xdr:rowOff>
    </xdr:to>
    <xdr:cxnSp macro="">
      <xdr:nvCxnSpPr>
        <xdr:cNvPr id="39187" name="직선 화살표 연결선 39186">
          <a:extLst>
            <a:ext uri="{FF2B5EF4-FFF2-40B4-BE49-F238E27FC236}">
              <a16:creationId xmlns:a16="http://schemas.microsoft.com/office/drawing/2014/main" id="{00000000-0008-0000-0100-000013990000}"/>
            </a:ext>
          </a:extLst>
        </xdr:cNvPr>
        <xdr:cNvCxnSpPr/>
      </xdr:nvCxnSpPr>
      <xdr:spPr>
        <a:xfrm>
          <a:off x="10086975" y="9420225"/>
          <a:ext cx="2254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48</xdr:row>
      <xdr:rowOff>85725</xdr:rowOff>
    </xdr:from>
    <xdr:to>
      <xdr:col>118</xdr:col>
      <xdr:colOff>12700</xdr:colOff>
      <xdr:row>48</xdr:row>
      <xdr:rowOff>212725</xdr:rowOff>
    </xdr:to>
    <xdr:sp macro="" textlink="">
      <xdr:nvSpPr>
        <xdr:cNvPr id="39188" name="45">
          <a:extLst>
            <a:ext uri="{FF2B5EF4-FFF2-40B4-BE49-F238E27FC236}">
              <a16:creationId xmlns:a16="http://schemas.microsoft.com/office/drawing/2014/main" id="{00000000-0008-0000-0100-000014990000}"/>
            </a:ext>
          </a:extLst>
        </xdr:cNvPr>
        <xdr:cNvSpPr/>
      </xdr:nvSpPr>
      <xdr:spPr>
        <a:xfrm>
          <a:off x="14087475" y="9144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85725</xdr:rowOff>
    </xdr:from>
    <xdr:to>
      <xdr:col>114</xdr:col>
      <xdr:colOff>1270</xdr:colOff>
      <xdr:row>47</xdr:row>
      <xdr:rowOff>200025</xdr:rowOff>
    </xdr:to>
    <xdr:sp macro="" textlink="">
      <xdr:nvSpPr>
        <xdr:cNvPr id="39189" name="44">
          <a:extLst>
            <a:ext uri="{FF2B5EF4-FFF2-40B4-BE49-F238E27FC236}">
              <a16:creationId xmlns:a16="http://schemas.microsoft.com/office/drawing/2014/main" id="{00000000-0008-0000-0100-000015990000}"/>
            </a:ext>
          </a:extLst>
        </xdr:cNvPr>
        <xdr:cNvSpPr/>
      </xdr:nvSpPr>
      <xdr:spPr>
        <a:xfrm>
          <a:off x="12487275" y="88582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142875</xdr:rowOff>
    </xdr:from>
    <xdr:to>
      <xdr:col>88</xdr:col>
      <xdr:colOff>0</xdr:colOff>
      <xdr:row>47</xdr:row>
      <xdr:rowOff>142875</xdr:rowOff>
    </xdr:to>
    <xdr:cxnSp macro="">
      <xdr:nvCxnSpPr>
        <xdr:cNvPr id="39190" name="직선 화살표 연결선 39189">
          <a:extLst>
            <a:ext uri="{FF2B5EF4-FFF2-40B4-BE49-F238E27FC236}">
              <a16:creationId xmlns:a16="http://schemas.microsoft.com/office/drawing/2014/main" id="{00000000-0008-0000-0100-000016990000}"/>
            </a:ext>
          </a:extLst>
        </xdr:cNvPr>
        <xdr:cNvCxnSpPr/>
      </xdr:nvCxnSpPr>
      <xdr:spPr>
        <a:xfrm>
          <a:off x="12487275" y="891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86</xdr:col>
      <xdr:colOff>1270</xdr:colOff>
      <xdr:row>46</xdr:row>
      <xdr:rowOff>142875</xdr:rowOff>
    </xdr:to>
    <xdr:sp macro="" textlink="">
      <xdr:nvSpPr>
        <xdr:cNvPr id="39191" name="43">
          <a:extLst>
            <a:ext uri="{FF2B5EF4-FFF2-40B4-BE49-F238E27FC236}">
              <a16:creationId xmlns:a16="http://schemas.microsoft.com/office/drawing/2014/main" id="{00000000-0008-0000-0100-000017990000}"/>
            </a:ext>
          </a:extLst>
        </xdr:cNvPr>
        <xdr:cNvSpPr/>
      </xdr:nvSpPr>
      <xdr:spPr>
        <a:xfrm>
          <a:off x="11287125" y="862965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86</xdr:col>
      <xdr:colOff>0</xdr:colOff>
      <xdr:row>46</xdr:row>
      <xdr:rowOff>85725</xdr:rowOff>
    </xdr:to>
    <xdr:cxnSp macro="">
      <xdr:nvCxnSpPr>
        <xdr:cNvPr id="39192" name="직선 화살표 연결선 39191">
          <a:extLst>
            <a:ext uri="{FF2B5EF4-FFF2-40B4-BE49-F238E27FC236}">
              <a16:creationId xmlns:a16="http://schemas.microsoft.com/office/drawing/2014/main" id="{00000000-0008-0000-0100-000018990000}"/>
            </a:ext>
          </a:extLst>
        </xdr:cNvPr>
        <xdr:cNvCxnSpPr/>
      </xdr:nvCxnSpPr>
      <xdr:spPr>
        <a:xfrm>
          <a:off x="11287125" y="8686800"/>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168</xdr:col>
      <xdr:colOff>1270</xdr:colOff>
      <xdr:row>45</xdr:row>
      <xdr:rowOff>133350</xdr:rowOff>
    </xdr:to>
    <xdr:sp macro="" textlink="">
      <xdr:nvSpPr>
        <xdr:cNvPr id="39193" name="42">
          <a:extLst>
            <a:ext uri="{FF2B5EF4-FFF2-40B4-BE49-F238E27FC236}">
              <a16:creationId xmlns:a16="http://schemas.microsoft.com/office/drawing/2014/main" id="{00000000-0008-0000-0100-000019990000}"/>
            </a:ext>
          </a:extLst>
        </xdr:cNvPr>
        <xdr:cNvSpPr/>
      </xdr:nvSpPr>
      <xdr:spPr>
        <a:xfrm>
          <a:off x="11287125" y="8467725"/>
          <a:ext cx="5773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111</xdr:col>
      <xdr:colOff>31936</xdr:colOff>
      <xdr:row>45</xdr:row>
      <xdr:rowOff>76200</xdr:rowOff>
    </xdr:to>
    <xdr:cxnSp macro="">
      <xdr:nvCxnSpPr>
        <xdr:cNvPr id="39194" name="직선 화살표 연결선 39193">
          <a:extLst>
            <a:ext uri="{FF2B5EF4-FFF2-40B4-BE49-F238E27FC236}">
              <a16:creationId xmlns:a16="http://schemas.microsoft.com/office/drawing/2014/main" id="{00000000-0008-0000-0100-00001A990000}"/>
            </a:ext>
          </a:extLst>
        </xdr:cNvPr>
        <xdr:cNvCxnSpPr/>
      </xdr:nvCxnSpPr>
      <xdr:spPr>
        <a:xfrm>
          <a:off x="11287125" y="8524875"/>
          <a:ext cx="2546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39195" name="41">
          <a:extLst>
            <a:ext uri="{FF2B5EF4-FFF2-40B4-BE49-F238E27FC236}">
              <a16:creationId xmlns:a16="http://schemas.microsoft.com/office/drawing/2014/main" id="{00000000-0008-0000-0100-00001B990000}"/>
            </a:ext>
          </a:extLst>
        </xdr:cNvPr>
        <xdr:cNvSpPr/>
      </xdr:nvSpPr>
      <xdr:spPr>
        <a:xfrm>
          <a:off x="18888075" y="83058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39196" name="직선 화살표 연결선 39195">
          <a:extLst>
            <a:ext uri="{FF2B5EF4-FFF2-40B4-BE49-F238E27FC236}">
              <a16:creationId xmlns:a16="http://schemas.microsoft.com/office/drawing/2014/main" id="{00000000-0008-0000-0100-00001C990000}"/>
            </a:ext>
          </a:extLst>
        </xdr:cNvPr>
        <xdr:cNvCxnSpPr/>
      </xdr:nvCxnSpPr>
      <xdr:spPr>
        <a:xfrm>
          <a:off x="1888807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39197" name="40">
          <a:extLst>
            <a:ext uri="{FF2B5EF4-FFF2-40B4-BE49-F238E27FC236}">
              <a16:creationId xmlns:a16="http://schemas.microsoft.com/office/drawing/2014/main" id="{00000000-0008-0000-0100-00001D990000}"/>
            </a:ext>
          </a:extLst>
        </xdr:cNvPr>
        <xdr:cNvSpPr/>
      </xdr:nvSpPr>
      <xdr:spPr>
        <a:xfrm>
          <a:off x="12487275" y="81343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88</xdr:col>
      <xdr:colOff>0</xdr:colOff>
      <xdr:row>43</xdr:row>
      <xdr:rowOff>85725</xdr:rowOff>
    </xdr:to>
    <xdr:cxnSp macro="">
      <xdr:nvCxnSpPr>
        <xdr:cNvPr id="39198" name="직선 화살표 연결선 39197">
          <a:extLst>
            <a:ext uri="{FF2B5EF4-FFF2-40B4-BE49-F238E27FC236}">
              <a16:creationId xmlns:a16="http://schemas.microsoft.com/office/drawing/2014/main" id="{00000000-0008-0000-0100-00001E990000}"/>
            </a:ext>
          </a:extLst>
        </xdr:cNvPr>
        <xdr:cNvCxnSpPr/>
      </xdr:nvCxnSpPr>
      <xdr:spPr>
        <a:xfrm>
          <a:off x="12487275" y="8191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39199" name="39">
          <a:extLst>
            <a:ext uri="{FF2B5EF4-FFF2-40B4-BE49-F238E27FC236}">
              <a16:creationId xmlns:a16="http://schemas.microsoft.com/office/drawing/2014/main" id="{00000000-0008-0000-0100-00001F990000}"/>
            </a:ext>
          </a:extLst>
        </xdr:cNvPr>
        <xdr:cNvSpPr/>
      </xdr:nvSpPr>
      <xdr:spPr>
        <a:xfrm>
          <a:off x="12487275" y="7972425"/>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88</xdr:col>
      <xdr:colOff>0</xdr:colOff>
      <xdr:row>42</xdr:row>
      <xdr:rowOff>76200</xdr:rowOff>
    </xdr:to>
    <xdr:cxnSp macro="">
      <xdr:nvCxnSpPr>
        <xdr:cNvPr id="39200" name="직선 화살표 연결선 39199">
          <a:extLst>
            <a:ext uri="{FF2B5EF4-FFF2-40B4-BE49-F238E27FC236}">
              <a16:creationId xmlns:a16="http://schemas.microsoft.com/office/drawing/2014/main" id="{00000000-0008-0000-0100-000020990000}"/>
            </a:ext>
          </a:extLst>
        </xdr:cNvPr>
        <xdr:cNvCxnSpPr/>
      </xdr:nvCxnSpPr>
      <xdr:spPr>
        <a:xfrm>
          <a:off x="12487275" y="8029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39201" name="38">
          <a:extLst>
            <a:ext uri="{FF2B5EF4-FFF2-40B4-BE49-F238E27FC236}">
              <a16:creationId xmlns:a16="http://schemas.microsoft.com/office/drawing/2014/main" id="{00000000-0008-0000-0100-000021990000}"/>
            </a:ext>
          </a:extLst>
        </xdr:cNvPr>
        <xdr:cNvSpPr/>
      </xdr:nvSpPr>
      <xdr:spPr>
        <a:xfrm>
          <a:off x="15344775" y="78105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39202" name="직선 화살표 연결선 39201">
          <a:extLst>
            <a:ext uri="{FF2B5EF4-FFF2-40B4-BE49-F238E27FC236}">
              <a16:creationId xmlns:a16="http://schemas.microsoft.com/office/drawing/2014/main" id="{00000000-0008-0000-0100-000022990000}"/>
            </a:ext>
          </a:extLst>
        </xdr:cNvPr>
        <xdr:cNvCxnSpPr/>
      </xdr:nvCxnSpPr>
      <xdr:spPr>
        <a:xfrm>
          <a:off x="15344775" y="7867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39203" name="37">
          <a:extLst>
            <a:ext uri="{FF2B5EF4-FFF2-40B4-BE49-F238E27FC236}">
              <a16:creationId xmlns:a16="http://schemas.microsoft.com/office/drawing/2014/main" id="{00000000-0008-0000-0100-000023990000}"/>
            </a:ext>
          </a:extLst>
        </xdr:cNvPr>
        <xdr:cNvSpPr/>
      </xdr:nvSpPr>
      <xdr:spPr>
        <a:xfrm>
          <a:off x="13687425" y="76390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39204" name="직선 화살표 연결선 39203">
          <a:extLst>
            <a:ext uri="{FF2B5EF4-FFF2-40B4-BE49-F238E27FC236}">
              <a16:creationId xmlns:a16="http://schemas.microsoft.com/office/drawing/2014/main" id="{00000000-0008-0000-0100-000024990000}"/>
            </a:ext>
          </a:extLst>
        </xdr:cNvPr>
        <xdr:cNvCxnSpPr/>
      </xdr:nvCxnSpPr>
      <xdr:spPr>
        <a:xfrm>
          <a:off x="13687425"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39205" name="36">
          <a:extLst>
            <a:ext uri="{FF2B5EF4-FFF2-40B4-BE49-F238E27FC236}">
              <a16:creationId xmlns:a16="http://schemas.microsoft.com/office/drawing/2014/main" id="{00000000-0008-0000-0100-000025990000}"/>
            </a:ext>
          </a:extLst>
        </xdr:cNvPr>
        <xdr:cNvSpPr/>
      </xdr:nvSpPr>
      <xdr:spPr>
        <a:xfrm>
          <a:off x="13687425" y="74771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39206" name="직선 화살표 연결선 39205">
          <a:extLst>
            <a:ext uri="{FF2B5EF4-FFF2-40B4-BE49-F238E27FC236}">
              <a16:creationId xmlns:a16="http://schemas.microsoft.com/office/drawing/2014/main" id="{00000000-0008-0000-0100-000026990000}"/>
            </a:ext>
          </a:extLst>
        </xdr:cNvPr>
        <xdr:cNvCxnSpPr/>
      </xdr:nvCxnSpPr>
      <xdr:spPr>
        <a:xfrm>
          <a:off x="13687425"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39207" name="35">
          <a:extLst>
            <a:ext uri="{FF2B5EF4-FFF2-40B4-BE49-F238E27FC236}">
              <a16:creationId xmlns:a16="http://schemas.microsoft.com/office/drawing/2014/main" id="{00000000-0008-0000-0100-000027990000}"/>
            </a:ext>
          </a:extLst>
        </xdr:cNvPr>
        <xdr:cNvSpPr/>
      </xdr:nvSpPr>
      <xdr:spPr>
        <a:xfrm>
          <a:off x="9744075" y="7324725"/>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58</xdr:col>
      <xdr:colOff>17145</xdr:colOff>
      <xdr:row>38</xdr:row>
      <xdr:rowOff>76200</xdr:rowOff>
    </xdr:to>
    <xdr:cxnSp macro="">
      <xdr:nvCxnSpPr>
        <xdr:cNvPr id="39208" name="직선 화살표 연결선 39207">
          <a:extLst>
            <a:ext uri="{FF2B5EF4-FFF2-40B4-BE49-F238E27FC236}">
              <a16:creationId xmlns:a16="http://schemas.microsoft.com/office/drawing/2014/main" id="{00000000-0008-0000-0100-000028990000}"/>
            </a:ext>
          </a:extLst>
        </xdr:cNvPr>
        <xdr:cNvCxnSpPr/>
      </xdr:nvCxnSpPr>
      <xdr:spPr>
        <a:xfrm>
          <a:off x="9744075" y="7381875"/>
          <a:ext cx="10458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39209" name="34">
          <a:extLst>
            <a:ext uri="{FF2B5EF4-FFF2-40B4-BE49-F238E27FC236}">
              <a16:creationId xmlns:a16="http://schemas.microsoft.com/office/drawing/2014/main" id="{00000000-0008-0000-0100-000029990000}"/>
            </a:ext>
          </a:extLst>
        </xdr:cNvPr>
        <xdr:cNvSpPr/>
      </xdr:nvSpPr>
      <xdr:spPr>
        <a:xfrm>
          <a:off x="12601575" y="71437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90</xdr:col>
      <xdr:colOff>0</xdr:colOff>
      <xdr:row>37</xdr:row>
      <xdr:rowOff>104775</xdr:rowOff>
    </xdr:to>
    <xdr:cxnSp macro="">
      <xdr:nvCxnSpPr>
        <xdr:cNvPr id="39210" name="직선 화살표 연결선 39209">
          <a:extLst>
            <a:ext uri="{FF2B5EF4-FFF2-40B4-BE49-F238E27FC236}">
              <a16:creationId xmlns:a16="http://schemas.microsoft.com/office/drawing/2014/main" id="{00000000-0008-0000-0100-00002A990000}"/>
            </a:ext>
          </a:extLst>
        </xdr:cNvPr>
        <xdr:cNvCxnSpPr/>
      </xdr:nvCxnSpPr>
      <xdr:spPr>
        <a:xfrm>
          <a:off x="12601575" y="7200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39211" name="33">
          <a:extLst>
            <a:ext uri="{FF2B5EF4-FFF2-40B4-BE49-F238E27FC236}">
              <a16:creationId xmlns:a16="http://schemas.microsoft.com/office/drawing/2014/main" id="{00000000-0008-0000-0100-00002B990000}"/>
            </a:ext>
          </a:extLst>
        </xdr:cNvPr>
        <xdr:cNvSpPr/>
      </xdr:nvSpPr>
      <xdr:spPr>
        <a:xfrm>
          <a:off x="10887075" y="69532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87</xdr:col>
      <xdr:colOff>36885</xdr:colOff>
      <xdr:row>36</xdr:row>
      <xdr:rowOff>85725</xdr:rowOff>
    </xdr:to>
    <xdr:cxnSp macro="">
      <xdr:nvCxnSpPr>
        <xdr:cNvPr id="39212" name="직선 화살표 연결선 39211">
          <a:extLst>
            <a:ext uri="{FF2B5EF4-FFF2-40B4-BE49-F238E27FC236}">
              <a16:creationId xmlns:a16="http://schemas.microsoft.com/office/drawing/2014/main" id="{00000000-0008-0000-0100-00002C990000}"/>
            </a:ext>
          </a:extLst>
        </xdr:cNvPr>
        <xdr:cNvCxnSpPr/>
      </xdr:nvCxnSpPr>
      <xdr:spPr>
        <a:xfrm>
          <a:off x="10887075" y="7010400"/>
          <a:ext cx="15799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39213" name="32">
          <a:extLst>
            <a:ext uri="{FF2B5EF4-FFF2-40B4-BE49-F238E27FC236}">
              <a16:creationId xmlns:a16="http://schemas.microsoft.com/office/drawing/2014/main" id="{00000000-0008-0000-0100-00002D990000}"/>
            </a:ext>
          </a:extLst>
        </xdr:cNvPr>
        <xdr:cNvSpPr/>
      </xdr:nvSpPr>
      <xdr:spPr>
        <a:xfrm>
          <a:off x="10887075" y="6791325"/>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83</xdr:col>
      <xdr:colOff>36287</xdr:colOff>
      <xdr:row>35</xdr:row>
      <xdr:rowOff>76200</xdr:rowOff>
    </xdr:to>
    <xdr:cxnSp macro="">
      <xdr:nvCxnSpPr>
        <xdr:cNvPr id="39214" name="직선 화살표 연결선 39213">
          <a:extLst>
            <a:ext uri="{FF2B5EF4-FFF2-40B4-BE49-F238E27FC236}">
              <a16:creationId xmlns:a16="http://schemas.microsoft.com/office/drawing/2014/main" id="{00000000-0008-0000-0100-00002E990000}"/>
            </a:ext>
          </a:extLst>
        </xdr:cNvPr>
        <xdr:cNvCxnSpPr/>
      </xdr:nvCxnSpPr>
      <xdr:spPr>
        <a:xfrm>
          <a:off x="10887075" y="6848475"/>
          <a:ext cx="13507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39215" name="31">
          <a:extLst>
            <a:ext uri="{FF2B5EF4-FFF2-40B4-BE49-F238E27FC236}">
              <a16:creationId xmlns:a16="http://schemas.microsoft.com/office/drawing/2014/main" id="{00000000-0008-0000-0100-00002F990000}"/>
            </a:ext>
          </a:extLst>
        </xdr:cNvPr>
        <xdr:cNvSpPr/>
      </xdr:nvSpPr>
      <xdr:spPr>
        <a:xfrm>
          <a:off x="12601575" y="66103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90</xdr:col>
      <xdr:colOff>0</xdr:colOff>
      <xdr:row>34</xdr:row>
      <xdr:rowOff>104775</xdr:rowOff>
    </xdr:to>
    <xdr:cxnSp macro="">
      <xdr:nvCxnSpPr>
        <xdr:cNvPr id="39216" name="직선 화살표 연결선 39215">
          <a:extLst>
            <a:ext uri="{FF2B5EF4-FFF2-40B4-BE49-F238E27FC236}">
              <a16:creationId xmlns:a16="http://schemas.microsoft.com/office/drawing/2014/main" id="{00000000-0008-0000-0100-000030990000}"/>
            </a:ext>
          </a:extLst>
        </xdr:cNvPr>
        <xdr:cNvCxnSpPr/>
      </xdr:nvCxnSpPr>
      <xdr:spPr>
        <a:xfrm>
          <a:off x="12601575" y="666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33</xdr:row>
      <xdr:rowOff>28575</xdr:rowOff>
    </xdr:from>
    <xdr:to>
      <xdr:col>138</xdr:col>
      <xdr:colOff>1270</xdr:colOff>
      <xdr:row>33</xdr:row>
      <xdr:rowOff>142875</xdr:rowOff>
    </xdr:to>
    <xdr:sp macro="" textlink="">
      <xdr:nvSpPr>
        <xdr:cNvPr id="39217" name="30">
          <a:extLst>
            <a:ext uri="{FF2B5EF4-FFF2-40B4-BE49-F238E27FC236}">
              <a16:creationId xmlns:a16="http://schemas.microsoft.com/office/drawing/2014/main" id="{00000000-0008-0000-0100-000031990000}"/>
            </a:ext>
          </a:extLst>
        </xdr:cNvPr>
        <xdr:cNvSpPr/>
      </xdr:nvSpPr>
      <xdr:spPr>
        <a:xfrm>
          <a:off x="12601575" y="64198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33</xdr:row>
      <xdr:rowOff>85725</xdr:rowOff>
    </xdr:from>
    <xdr:to>
      <xdr:col>90</xdr:col>
      <xdr:colOff>0</xdr:colOff>
      <xdr:row>33</xdr:row>
      <xdr:rowOff>85725</xdr:rowOff>
    </xdr:to>
    <xdr:cxnSp macro="">
      <xdr:nvCxnSpPr>
        <xdr:cNvPr id="39218" name="직선 화살표 연결선 39217">
          <a:extLst>
            <a:ext uri="{FF2B5EF4-FFF2-40B4-BE49-F238E27FC236}">
              <a16:creationId xmlns:a16="http://schemas.microsoft.com/office/drawing/2014/main" id="{00000000-0008-0000-0100-000032990000}"/>
            </a:ext>
          </a:extLst>
        </xdr:cNvPr>
        <xdr:cNvCxnSpPr/>
      </xdr:nvCxnSpPr>
      <xdr:spPr>
        <a:xfrm>
          <a:off x="12601575"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32</xdr:row>
      <xdr:rowOff>19050</xdr:rowOff>
    </xdr:from>
    <xdr:to>
      <xdr:col>138</xdr:col>
      <xdr:colOff>1270</xdr:colOff>
      <xdr:row>32</xdr:row>
      <xdr:rowOff>133350</xdr:rowOff>
    </xdr:to>
    <xdr:sp macro="" textlink="">
      <xdr:nvSpPr>
        <xdr:cNvPr id="39219" name="29">
          <a:extLst>
            <a:ext uri="{FF2B5EF4-FFF2-40B4-BE49-F238E27FC236}">
              <a16:creationId xmlns:a16="http://schemas.microsoft.com/office/drawing/2014/main" id="{00000000-0008-0000-0100-000033990000}"/>
            </a:ext>
          </a:extLst>
        </xdr:cNvPr>
        <xdr:cNvSpPr/>
      </xdr:nvSpPr>
      <xdr:spPr>
        <a:xfrm>
          <a:off x="12601575" y="6257925"/>
          <a:ext cx="2744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32</xdr:row>
      <xdr:rowOff>76200</xdr:rowOff>
    </xdr:from>
    <xdr:to>
      <xdr:col>90</xdr:col>
      <xdr:colOff>0</xdr:colOff>
      <xdr:row>32</xdr:row>
      <xdr:rowOff>76200</xdr:rowOff>
    </xdr:to>
    <xdr:cxnSp macro="">
      <xdr:nvCxnSpPr>
        <xdr:cNvPr id="39220" name="직선 화살표 연결선 39219">
          <a:extLst>
            <a:ext uri="{FF2B5EF4-FFF2-40B4-BE49-F238E27FC236}">
              <a16:creationId xmlns:a16="http://schemas.microsoft.com/office/drawing/2014/main" id="{00000000-0008-0000-0100-000034990000}"/>
            </a:ext>
          </a:extLst>
        </xdr:cNvPr>
        <xdr:cNvCxnSpPr/>
      </xdr:nvCxnSpPr>
      <xdr:spPr>
        <a:xfrm>
          <a:off x="12601575"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39221" name="28">
          <a:extLst>
            <a:ext uri="{FF2B5EF4-FFF2-40B4-BE49-F238E27FC236}">
              <a16:creationId xmlns:a16="http://schemas.microsoft.com/office/drawing/2014/main" id="{00000000-0008-0000-0100-000035990000}"/>
            </a:ext>
          </a:extLst>
        </xdr:cNvPr>
        <xdr:cNvSpPr/>
      </xdr:nvSpPr>
      <xdr:spPr>
        <a:xfrm>
          <a:off x="9686925" y="60960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39222" name="직선 화살표 연결선 39221">
          <a:extLst>
            <a:ext uri="{FF2B5EF4-FFF2-40B4-BE49-F238E27FC236}">
              <a16:creationId xmlns:a16="http://schemas.microsoft.com/office/drawing/2014/main" id="{00000000-0008-0000-0100-000036990000}"/>
            </a:ext>
          </a:extLst>
        </xdr:cNvPr>
        <xdr:cNvCxnSpPr/>
      </xdr:nvCxnSpPr>
      <xdr:spPr>
        <a:xfrm>
          <a:off x="9686925" y="61531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39223" name="27">
          <a:extLst>
            <a:ext uri="{FF2B5EF4-FFF2-40B4-BE49-F238E27FC236}">
              <a16:creationId xmlns:a16="http://schemas.microsoft.com/office/drawing/2014/main" id="{00000000-0008-0000-0100-000037990000}"/>
            </a:ext>
          </a:extLst>
        </xdr:cNvPr>
        <xdr:cNvSpPr/>
      </xdr:nvSpPr>
      <xdr:spPr>
        <a:xfrm>
          <a:off x="9344025" y="59245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39224" name="직선 화살표 연결선 39223">
          <a:extLst>
            <a:ext uri="{FF2B5EF4-FFF2-40B4-BE49-F238E27FC236}">
              <a16:creationId xmlns:a16="http://schemas.microsoft.com/office/drawing/2014/main" id="{00000000-0008-0000-0100-000038990000}"/>
            </a:ext>
          </a:extLst>
        </xdr:cNvPr>
        <xdr:cNvCxnSpPr/>
      </xdr:nvCxnSpPr>
      <xdr:spPr>
        <a:xfrm>
          <a:off x="9344025" y="59817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39225" name="26">
          <a:extLst>
            <a:ext uri="{FF2B5EF4-FFF2-40B4-BE49-F238E27FC236}">
              <a16:creationId xmlns:a16="http://schemas.microsoft.com/office/drawing/2014/main" id="{00000000-0008-0000-0100-000039990000}"/>
            </a:ext>
          </a:extLst>
        </xdr:cNvPr>
        <xdr:cNvSpPr/>
      </xdr:nvSpPr>
      <xdr:spPr>
        <a:xfrm>
          <a:off x="9344025" y="5762625"/>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39226" name="직선 화살표 연결선 39225">
          <a:extLst>
            <a:ext uri="{FF2B5EF4-FFF2-40B4-BE49-F238E27FC236}">
              <a16:creationId xmlns:a16="http://schemas.microsoft.com/office/drawing/2014/main" id="{00000000-0008-0000-0100-00003A990000}"/>
            </a:ext>
          </a:extLst>
        </xdr:cNvPr>
        <xdr:cNvCxnSpPr/>
      </xdr:nvCxnSpPr>
      <xdr:spPr>
        <a:xfrm>
          <a:off x="9344025" y="5819775"/>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39227" name="25">
          <a:extLst>
            <a:ext uri="{FF2B5EF4-FFF2-40B4-BE49-F238E27FC236}">
              <a16:creationId xmlns:a16="http://schemas.microsoft.com/office/drawing/2014/main" id="{00000000-0008-0000-0100-00003B990000}"/>
            </a:ext>
          </a:extLst>
        </xdr:cNvPr>
        <xdr:cNvSpPr/>
      </xdr:nvSpPr>
      <xdr:spPr>
        <a:xfrm>
          <a:off x="12087225" y="55435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28575</xdr:rowOff>
    </xdr:from>
    <xdr:to>
      <xdr:col>93</xdr:col>
      <xdr:colOff>1270</xdr:colOff>
      <xdr:row>27</xdr:row>
      <xdr:rowOff>142875</xdr:rowOff>
    </xdr:to>
    <xdr:sp macro="" textlink="">
      <xdr:nvSpPr>
        <xdr:cNvPr id="39228" name="24">
          <a:extLst>
            <a:ext uri="{FF2B5EF4-FFF2-40B4-BE49-F238E27FC236}">
              <a16:creationId xmlns:a16="http://schemas.microsoft.com/office/drawing/2014/main" id="{00000000-0008-0000-0100-00003C990000}"/>
            </a:ext>
          </a:extLst>
        </xdr:cNvPr>
        <xdr:cNvSpPr/>
      </xdr:nvSpPr>
      <xdr:spPr>
        <a:xfrm>
          <a:off x="10887075" y="53149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85725</xdr:rowOff>
    </xdr:from>
    <xdr:to>
      <xdr:col>87</xdr:col>
      <xdr:colOff>28512</xdr:colOff>
      <xdr:row>27</xdr:row>
      <xdr:rowOff>85725</xdr:rowOff>
    </xdr:to>
    <xdr:cxnSp macro="">
      <xdr:nvCxnSpPr>
        <xdr:cNvPr id="39229" name="직선 화살표 연결선 39228">
          <a:extLst>
            <a:ext uri="{FF2B5EF4-FFF2-40B4-BE49-F238E27FC236}">
              <a16:creationId xmlns:a16="http://schemas.microsoft.com/office/drawing/2014/main" id="{00000000-0008-0000-0100-00003D990000}"/>
            </a:ext>
          </a:extLst>
        </xdr:cNvPr>
        <xdr:cNvCxnSpPr/>
      </xdr:nvCxnSpPr>
      <xdr:spPr>
        <a:xfrm>
          <a:off x="10887075" y="5372100"/>
          <a:ext cx="15715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93</xdr:col>
      <xdr:colOff>1270</xdr:colOff>
      <xdr:row>26</xdr:row>
      <xdr:rowOff>142875</xdr:rowOff>
    </xdr:to>
    <xdr:sp macro="" textlink="">
      <xdr:nvSpPr>
        <xdr:cNvPr id="39230" name="23">
          <a:extLst>
            <a:ext uri="{FF2B5EF4-FFF2-40B4-BE49-F238E27FC236}">
              <a16:creationId xmlns:a16="http://schemas.microsoft.com/office/drawing/2014/main" id="{00000000-0008-0000-0100-00003E990000}"/>
            </a:ext>
          </a:extLst>
        </xdr:cNvPr>
        <xdr:cNvSpPr/>
      </xdr:nvSpPr>
      <xdr:spPr>
        <a:xfrm>
          <a:off x="10086975" y="51435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87</xdr:col>
      <xdr:colOff>17351</xdr:colOff>
      <xdr:row>26</xdr:row>
      <xdr:rowOff>85725</xdr:rowOff>
    </xdr:to>
    <xdr:cxnSp macro="">
      <xdr:nvCxnSpPr>
        <xdr:cNvPr id="39231" name="직선 화살표 연결선 39230">
          <a:extLst>
            <a:ext uri="{FF2B5EF4-FFF2-40B4-BE49-F238E27FC236}">
              <a16:creationId xmlns:a16="http://schemas.microsoft.com/office/drawing/2014/main" id="{00000000-0008-0000-0100-00003F990000}"/>
            </a:ext>
          </a:extLst>
        </xdr:cNvPr>
        <xdr:cNvCxnSpPr/>
      </xdr:nvCxnSpPr>
      <xdr:spPr>
        <a:xfrm>
          <a:off x="10086975" y="5200650"/>
          <a:ext cx="23605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107</xdr:col>
      <xdr:colOff>1270</xdr:colOff>
      <xdr:row>25</xdr:row>
      <xdr:rowOff>133350</xdr:rowOff>
    </xdr:to>
    <xdr:sp macro="" textlink="">
      <xdr:nvSpPr>
        <xdr:cNvPr id="39232" name="22">
          <a:extLst>
            <a:ext uri="{FF2B5EF4-FFF2-40B4-BE49-F238E27FC236}">
              <a16:creationId xmlns:a16="http://schemas.microsoft.com/office/drawing/2014/main" id="{00000000-0008-0000-0100-000040990000}"/>
            </a:ext>
          </a:extLst>
        </xdr:cNvPr>
        <xdr:cNvSpPr/>
      </xdr:nvSpPr>
      <xdr:spPr>
        <a:xfrm>
          <a:off x="10086975" y="498157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98</xdr:col>
      <xdr:colOff>25042</xdr:colOff>
      <xdr:row>25</xdr:row>
      <xdr:rowOff>76200</xdr:rowOff>
    </xdr:to>
    <xdr:cxnSp macro="">
      <xdr:nvCxnSpPr>
        <xdr:cNvPr id="39233" name="직선 화살표 연결선 39232">
          <a:extLst>
            <a:ext uri="{FF2B5EF4-FFF2-40B4-BE49-F238E27FC236}">
              <a16:creationId xmlns:a16="http://schemas.microsoft.com/office/drawing/2014/main" id="{00000000-0008-0000-0100-000041990000}"/>
            </a:ext>
          </a:extLst>
        </xdr:cNvPr>
        <xdr:cNvCxnSpPr/>
      </xdr:nvCxnSpPr>
      <xdr:spPr>
        <a:xfrm>
          <a:off x="10086975" y="5038725"/>
          <a:ext cx="29968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39234" name="21">
          <a:extLst>
            <a:ext uri="{FF2B5EF4-FFF2-40B4-BE49-F238E27FC236}">
              <a16:creationId xmlns:a16="http://schemas.microsoft.com/office/drawing/2014/main" id="{00000000-0008-0000-0100-000042990000}"/>
            </a:ext>
          </a:extLst>
        </xdr:cNvPr>
        <xdr:cNvSpPr/>
      </xdr:nvSpPr>
      <xdr:spPr>
        <a:xfrm>
          <a:off x="11915775" y="4691063"/>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86</xdr:col>
      <xdr:colOff>47840</xdr:colOff>
      <xdr:row>24</xdr:row>
      <xdr:rowOff>214313</xdr:rowOff>
    </xdr:to>
    <xdr:cxnSp macro="">
      <xdr:nvCxnSpPr>
        <xdr:cNvPr id="39235" name="직선 화살표 연결선 39234">
          <a:extLst>
            <a:ext uri="{FF2B5EF4-FFF2-40B4-BE49-F238E27FC236}">
              <a16:creationId xmlns:a16="http://schemas.microsoft.com/office/drawing/2014/main" id="{00000000-0008-0000-0100-000043990000}"/>
            </a:ext>
          </a:extLst>
        </xdr:cNvPr>
        <xdr:cNvCxnSpPr/>
      </xdr:nvCxnSpPr>
      <xdr:spPr>
        <a:xfrm>
          <a:off x="11915775" y="4748213"/>
          <a:ext cx="505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39236" name="20">
          <a:extLst>
            <a:ext uri="{FF2B5EF4-FFF2-40B4-BE49-F238E27FC236}">
              <a16:creationId xmlns:a16="http://schemas.microsoft.com/office/drawing/2014/main" id="{00000000-0008-0000-0100-000044990000}"/>
            </a:ext>
          </a:extLst>
        </xdr:cNvPr>
        <xdr:cNvSpPr/>
      </xdr:nvSpPr>
      <xdr:spPr>
        <a:xfrm>
          <a:off x="10887075" y="43910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87</xdr:col>
      <xdr:colOff>36885</xdr:colOff>
      <xdr:row>23</xdr:row>
      <xdr:rowOff>85725</xdr:rowOff>
    </xdr:to>
    <xdr:cxnSp macro="">
      <xdr:nvCxnSpPr>
        <xdr:cNvPr id="39237" name="직선 화살표 연결선 39236">
          <a:extLst>
            <a:ext uri="{FF2B5EF4-FFF2-40B4-BE49-F238E27FC236}">
              <a16:creationId xmlns:a16="http://schemas.microsoft.com/office/drawing/2014/main" id="{00000000-0008-0000-0100-000045990000}"/>
            </a:ext>
          </a:extLst>
        </xdr:cNvPr>
        <xdr:cNvCxnSpPr/>
      </xdr:nvCxnSpPr>
      <xdr:spPr>
        <a:xfrm>
          <a:off x="10887075" y="4448175"/>
          <a:ext cx="15799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39238" name="19">
          <a:extLst>
            <a:ext uri="{FF2B5EF4-FFF2-40B4-BE49-F238E27FC236}">
              <a16:creationId xmlns:a16="http://schemas.microsoft.com/office/drawing/2014/main" id="{00000000-0008-0000-0100-000046990000}"/>
            </a:ext>
          </a:extLst>
        </xdr:cNvPr>
        <xdr:cNvSpPr/>
      </xdr:nvSpPr>
      <xdr:spPr>
        <a:xfrm>
          <a:off x="10887075" y="4229100"/>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88</xdr:col>
      <xdr:colOff>52611</xdr:colOff>
      <xdr:row>22</xdr:row>
      <xdr:rowOff>76200</xdr:rowOff>
    </xdr:to>
    <xdr:cxnSp macro="">
      <xdr:nvCxnSpPr>
        <xdr:cNvPr id="39239" name="직선 화살표 연결선 39238">
          <a:extLst>
            <a:ext uri="{FF2B5EF4-FFF2-40B4-BE49-F238E27FC236}">
              <a16:creationId xmlns:a16="http://schemas.microsoft.com/office/drawing/2014/main" id="{00000000-0008-0000-0100-000047990000}"/>
            </a:ext>
          </a:extLst>
        </xdr:cNvPr>
        <xdr:cNvCxnSpPr/>
      </xdr:nvCxnSpPr>
      <xdr:spPr>
        <a:xfrm>
          <a:off x="10887075" y="4286250"/>
          <a:ext cx="16528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39240" name="18">
          <a:extLst>
            <a:ext uri="{FF2B5EF4-FFF2-40B4-BE49-F238E27FC236}">
              <a16:creationId xmlns:a16="http://schemas.microsoft.com/office/drawing/2014/main" id="{00000000-0008-0000-0100-000048990000}"/>
            </a:ext>
          </a:extLst>
        </xdr:cNvPr>
        <xdr:cNvSpPr/>
      </xdr:nvSpPr>
      <xdr:spPr>
        <a:xfrm>
          <a:off x="11801475" y="40671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87</xdr:col>
      <xdr:colOff>15522</xdr:colOff>
      <xdr:row>21</xdr:row>
      <xdr:rowOff>85725</xdr:rowOff>
    </xdr:to>
    <xdr:cxnSp macro="">
      <xdr:nvCxnSpPr>
        <xdr:cNvPr id="39241" name="직선 화살표 연결선 39240">
          <a:extLst>
            <a:ext uri="{FF2B5EF4-FFF2-40B4-BE49-F238E27FC236}">
              <a16:creationId xmlns:a16="http://schemas.microsoft.com/office/drawing/2014/main" id="{00000000-0008-0000-0100-000049990000}"/>
            </a:ext>
          </a:extLst>
        </xdr:cNvPr>
        <xdr:cNvCxnSpPr/>
      </xdr:nvCxnSpPr>
      <xdr:spPr>
        <a:xfrm>
          <a:off x="11801475" y="4124325"/>
          <a:ext cx="6441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39242" name="17">
          <a:extLst>
            <a:ext uri="{FF2B5EF4-FFF2-40B4-BE49-F238E27FC236}">
              <a16:creationId xmlns:a16="http://schemas.microsoft.com/office/drawing/2014/main" id="{00000000-0008-0000-0100-00004A990000}"/>
            </a:ext>
          </a:extLst>
        </xdr:cNvPr>
        <xdr:cNvSpPr/>
      </xdr:nvSpPr>
      <xdr:spPr>
        <a:xfrm>
          <a:off x="11801475" y="3876675"/>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87</xdr:col>
      <xdr:colOff>16825</xdr:colOff>
      <xdr:row>20</xdr:row>
      <xdr:rowOff>104775</xdr:rowOff>
    </xdr:to>
    <xdr:cxnSp macro="">
      <xdr:nvCxnSpPr>
        <xdr:cNvPr id="39243" name="직선 화살표 연결선 39242">
          <a:extLst>
            <a:ext uri="{FF2B5EF4-FFF2-40B4-BE49-F238E27FC236}">
              <a16:creationId xmlns:a16="http://schemas.microsoft.com/office/drawing/2014/main" id="{00000000-0008-0000-0100-00004B990000}"/>
            </a:ext>
          </a:extLst>
        </xdr:cNvPr>
        <xdr:cNvCxnSpPr/>
      </xdr:nvCxnSpPr>
      <xdr:spPr>
        <a:xfrm>
          <a:off x="11801475" y="3933825"/>
          <a:ext cx="6454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39244" name="16">
          <a:extLst>
            <a:ext uri="{FF2B5EF4-FFF2-40B4-BE49-F238E27FC236}">
              <a16:creationId xmlns:a16="http://schemas.microsoft.com/office/drawing/2014/main" id="{00000000-0008-0000-0100-00004C990000}"/>
            </a:ext>
          </a:extLst>
        </xdr:cNvPr>
        <xdr:cNvSpPr/>
      </xdr:nvSpPr>
      <xdr:spPr>
        <a:xfrm>
          <a:off x="11915775" y="36671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87</xdr:col>
      <xdr:colOff>21431</xdr:colOff>
      <xdr:row>19</xdr:row>
      <xdr:rowOff>104775</xdr:rowOff>
    </xdr:to>
    <xdr:cxnSp macro="">
      <xdr:nvCxnSpPr>
        <xdr:cNvPr id="39245" name="직선 화살표 연결선 39244">
          <a:extLst>
            <a:ext uri="{FF2B5EF4-FFF2-40B4-BE49-F238E27FC236}">
              <a16:creationId xmlns:a16="http://schemas.microsoft.com/office/drawing/2014/main" id="{00000000-0008-0000-0100-00004D990000}"/>
            </a:ext>
          </a:extLst>
        </xdr:cNvPr>
        <xdr:cNvCxnSpPr/>
      </xdr:nvCxnSpPr>
      <xdr:spPr>
        <a:xfrm>
          <a:off x="11915775" y="3724275"/>
          <a:ext cx="535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39246" name="15">
          <a:extLst>
            <a:ext uri="{FF2B5EF4-FFF2-40B4-BE49-F238E27FC236}">
              <a16:creationId xmlns:a16="http://schemas.microsoft.com/office/drawing/2014/main" id="{00000000-0008-0000-0100-00004E990000}"/>
            </a:ext>
          </a:extLst>
        </xdr:cNvPr>
        <xdr:cNvSpPr/>
      </xdr:nvSpPr>
      <xdr:spPr>
        <a:xfrm>
          <a:off x="11801475" y="345757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87</xdr:col>
      <xdr:colOff>57116</xdr:colOff>
      <xdr:row>18</xdr:row>
      <xdr:rowOff>104775</xdr:rowOff>
    </xdr:to>
    <xdr:cxnSp macro="">
      <xdr:nvCxnSpPr>
        <xdr:cNvPr id="39247" name="직선 화살표 연결선 39246">
          <a:extLst>
            <a:ext uri="{FF2B5EF4-FFF2-40B4-BE49-F238E27FC236}">
              <a16:creationId xmlns:a16="http://schemas.microsoft.com/office/drawing/2014/main" id="{00000000-0008-0000-0100-00004F990000}"/>
            </a:ext>
          </a:extLst>
        </xdr:cNvPr>
        <xdr:cNvCxnSpPr/>
      </xdr:nvCxnSpPr>
      <xdr:spPr>
        <a:xfrm>
          <a:off x="11801475" y="3514725"/>
          <a:ext cx="685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39248" name="14">
          <a:extLst>
            <a:ext uri="{FF2B5EF4-FFF2-40B4-BE49-F238E27FC236}">
              <a16:creationId xmlns:a16="http://schemas.microsoft.com/office/drawing/2014/main" id="{00000000-0008-0000-0100-000050990000}"/>
            </a:ext>
          </a:extLst>
        </xdr:cNvPr>
        <xdr:cNvSpPr/>
      </xdr:nvSpPr>
      <xdr:spPr>
        <a:xfrm>
          <a:off x="11287125" y="32480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86</xdr:col>
      <xdr:colOff>42148</xdr:colOff>
      <xdr:row>17</xdr:row>
      <xdr:rowOff>104775</xdr:rowOff>
    </xdr:to>
    <xdr:cxnSp macro="">
      <xdr:nvCxnSpPr>
        <xdr:cNvPr id="39249" name="직선 화살표 연결선 39248">
          <a:extLst>
            <a:ext uri="{FF2B5EF4-FFF2-40B4-BE49-F238E27FC236}">
              <a16:creationId xmlns:a16="http://schemas.microsoft.com/office/drawing/2014/main" id="{00000000-0008-0000-0100-000051990000}"/>
            </a:ext>
          </a:extLst>
        </xdr:cNvPr>
        <xdr:cNvCxnSpPr/>
      </xdr:nvCxnSpPr>
      <xdr:spPr>
        <a:xfrm>
          <a:off x="11287125" y="3305175"/>
          <a:ext cx="11279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39250" name="13">
          <a:extLst>
            <a:ext uri="{FF2B5EF4-FFF2-40B4-BE49-F238E27FC236}">
              <a16:creationId xmlns:a16="http://schemas.microsoft.com/office/drawing/2014/main" id="{00000000-0008-0000-0100-000052990000}"/>
            </a:ext>
          </a:extLst>
        </xdr:cNvPr>
        <xdr:cNvSpPr/>
      </xdr:nvSpPr>
      <xdr:spPr>
        <a:xfrm>
          <a:off x="10658475" y="300037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86</xdr:col>
      <xdr:colOff>45720</xdr:colOff>
      <xdr:row>16</xdr:row>
      <xdr:rowOff>142875</xdr:rowOff>
    </xdr:to>
    <xdr:cxnSp macro="">
      <xdr:nvCxnSpPr>
        <xdr:cNvPr id="39251" name="직선 화살표 연결선 39250">
          <a:extLst>
            <a:ext uri="{FF2B5EF4-FFF2-40B4-BE49-F238E27FC236}">
              <a16:creationId xmlns:a16="http://schemas.microsoft.com/office/drawing/2014/main" id="{00000000-0008-0000-0100-000053990000}"/>
            </a:ext>
          </a:extLst>
        </xdr:cNvPr>
        <xdr:cNvCxnSpPr/>
      </xdr:nvCxnSpPr>
      <xdr:spPr>
        <a:xfrm>
          <a:off x="10658475" y="3057525"/>
          <a:ext cx="17602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92</xdr:col>
      <xdr:colOff>1270</xdr:colOff>
      <xdr:row>15</xdr:row>
      <xdr:rowOff>142875</xdr:rowOff>
    </xdr:to>
    <xdr:sp macro="" textlink="">
      <xdr:nvSpPr>
        <xdr:cNvPr id="39252" name="12">
          <a:extLst>
            <a:ext uri="{FF2B5EF4-FFF2-40B4-BE49-F238E27FC236}">
              <a16:creationId xmlns:a16="http://schemas.microsoft.com/office/drawing/2014/main" id="{00000000-0008-0000-0100-000054990000}"/>
            </a:ext>
          </a:extLst>
        </xdr:cNvPr>
        <xdr:cNvSpPr/>
      </xdr:nvSpPr>
      <xdr:spPr>
        <a:xfrm>
          <a:off x="10086975" y="2771775"/>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86</xdr:col>
      <xdr:colOff>24278</xdr:colOff>
      <xdr:row>15</xdr:row>
      <xdr:rowOff>85725</xdr:rowOff>
    </xdr:to>
    <xdr:cxnSp macro="">
      <xdr:nvCxnSpPr>
        <xdr:cNvPr id="39253" name="직선 화살표 연결선 39252">
          <a:extLst>
            <a:ext uri="{FF2B5EF4-FFF2-40B4-BE49-F238E27FC236}">
              <a16:creationId xmlns:a16="http://schemas.microsoft.com/office/drawing/2014/main" id="{00000000-0008-0000-0100-000055990000}"/>
            </a:ext>
          </a:extLst>
        </xdr:cNvPr>
        <xdr:cNvCxnSpPr/>
      </xdr:nvCxnSpPr>
      <xdr:spPr>
        <a:xfrm>
          <a:off x="10086975" y="2828925"/>
          <a:ext cx="23102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39254" name="11">
          <a:extLst>
            <a:ext uri="{FF2B5EF4-FFF2-40B4-BE49-F238E27FC236}">
              <a16:creationId xmlns:a16="http://schemas.microsoft.com/office/drawing/2014/main" id="{00000000-0008-0000-0100-000056990000}"/>
            </a:ext>
          </a:extLst>
        </xdr:cNvPr>
        <xdr:cNvSpPr/>
      </xdr:nvSpPr>
      <xdr:spPr>
        <a:xfrm>
          <a:off x="10086975" y="2609850"/>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86</xdr:col>
      <xdr:colOff>6261</xdr:colOff>
      <xdr:row>14</xdr:row>
      <xdr:rowOff>76200</xdr:rowOff>
    </xdr:to>
    <xdr:cxnSp macro="">
      <xdr:nvCxnSpPr>
        <xdr:cNvPr id="39255" name="직선 화살표 연결선 39254">
          <a:extLst>
            <a:ext uri="{FF2B5EF4-FFF2-40B4-BE49-F238E27FC236}">
              <a16:creationId xmlns:a16="http://schemas.microsoft.com/office/drawing/2014/main" id="{00000000-0008-0000-0100-000057990000}"/>
            </a:ext>
          </a:extLst>
        </xdr:cNvPr>
        <xdr:cNvCxnSpPr/>
      </xdr:nvCxnSpPr>
      <xdr:spPr>
        <a:xfrm>
          <a:off x="10086975" y="2667000"/>
          <a:ext cx="22922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0</xdr:colOff>
      <xdr:row>13</xdr:row>
      <xdr:rowOff>28575</xdr:rowOff>
    </xdr:from>
    <xdr:to>
      <xdr:col>261</xdr:col>
      <xdr:colOff>12700</xdr:colOff>
      <xdr:row>13</xdr:row>
      <xdr:rowOff>155575</xdr:rowOff>
    </xdr:to>
    <xdr:sp macro="" textlink="">
      <xdr:nvSpPr>
        <xdr:cNvPr id="39256" name="10">
          <a:extLst>
            <a:ext uri="{FF2B5EF4-FFF2-40B4-BE49-F238E27FC236}">
              <a16:creationId xmlns:a16="http://schemas.microsoft.com/office/drawing/2014/main" id="{00000000-0008-0000-0100-000058990000}"/>
            </a:ext>
          </a:extLst>
        </xdr:cNvPr>
        <xdr:cNvSpPr/>
      </xdr:nvSpPr>
      <xdr:spPr>
        <a:xfrm>
          <a:off x="22259925"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39257" name="9">
          <a:extLst>
            <a:ext uri="{FF2B5EF4-FFF2-40B4-BE49-F238E27FC236}">
              <a16:creationId xmlns:a16="http://schemas.microsoft.com/office/drawing/2014/main" id="{00000000-0008-0000-0100-000059990000}"/>
            </a:ext>
          </a:extLst>
        </xdr:cNvPr>
        <xdr:cNvSpPr/>
      </xdr:nvSpPr>
      <xdr:spPr>
        <a:xfrm>
          <a:off x="15287625" y="22764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39258" name="8">
          <a:extLst>
            <a:ext uri="{FF2B5EF4-FFF2-40B4-BE49-F238E27FC236}">
              <a16:creationId xmlns:a16="http://schemas.microsoft.com/office/drawing/2014/main" id="{00000000-0008-0000-0100-00005A990000}"/>
            </a:ext>
          </a:extLst>
        </xdr:cNvPr>
        <xdr:cNvSpPr/>
      </xdr:nvSpPr>
      <xdr:spPr>
        <a:xfrm>
          <a:off x="9858375" y="21050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260</xdr:col>
      <xdr:colOff>1270</xdr:colOff>
      <xdr:row>10</xdr:row>
      <xdr:rowOff>133350</xdr:rowOff>
    </xdr:to>
    <xdr:sp macro="" textlink="">
      <xdr:nvSpPr>
        <xdr:cNvPr id="39259" name="7">
          <a:extLst>
            <a:ext uri="{FF2B5EF4-FFF2-40B4-BE49-F238E27FC236}">
              <a16:creationId xmlns:a16="http://schemas.microsoft.com/office/drawing/2014/main" id="{00000000-0008-0000-0100-00005B990000}"/>
            </a:ext>
          </a:extLst>
        </xdr:cNvPr>
        <xdr:cNvSpPr/>
      </xdr:nvSpPr>
      <xdr:spPr>
        <a:xfrm>
          <a:off x="9858375" y="1943100"/>
          <a:ext cx="1245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39260" name="직선 화살표 연결선 39259">
          <a:extLst>
            <a:ext uri="{FF2B5EF4-FFF2-40B4-BE49-F238E27FC236}">
              <a16:creationId xmlns:a16="http://schemas.microsoft.com/office/drawing/2014/main" id="{00000000-0008-0000-0100-00005C990000}"/>
            </a:ext>
          </a:extLst>
        </xdr:cNvPr>
        <xdr:cNvCxnSpPr/>
      </xdr:nvCxnSpPr>
      <xdr:spPr>
        <a:xfrm>
          <a:off x="9858375" y="2000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39261" name="6">
          <a:extLst>
            <a:ext uri="{FF2B5EF4-FFF2-40B4-BE49-F238E27FC236}">
              <a16:creationId xmlns:a16="http://schemas.microsoft.com/office/drawing/2014/main" id="{00000000-0008-0000-0100-00005D990000}"/>
            </a:ext>
          </a:extLst>
        </xdr:cNvPr>
        <xdr:cNvSpPr/>
      </xdr:nvSpPr>
      <xdr:spPr>
        <a:xfrm>
          <a:off x="9858375" y="17811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72</xdr:col>
      <xdr:colOff>0</xdr:colOff>
      <xdr:row>9</xdr:row>
      <xdr:rowOff>85725</xdr:rowOff>
    </xdr:to>
    <xdr:cxnSp macro="">
      <xdr:nvCxnSpPr>
        <xdr:cNvPr id="39262" name="직선 화살표 연결선 39261">
          <a:extLst>
            <a:ext uri="{FF2B5EF4-FFF2-40B4-BE49-F238E27FC236}">
              <a16:creationId xmlns:a16="http://schemas.microsoft.com/office/drawing/2014/main" id="{00000000-0008-0000-0100-00005E990000}"/>
            </a:ext>
          </a:extLst>
        </xdr:cNvPr>
        <xdr:cNvCxnSpPr/>
      </xdr:nvCxnSpPr>
      <xdr:spPr>
        <a:xfrm>
          <a:off x="9858375" y="183832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39263" name="5">
          <a:extLst>
            <a:ext uri="{FF2B5EF4-FFF2-40B4-BE49-F238E27FC236}">
              <a16:creationId xmlns:a16="http://schemas.microsoft.com/office/drawing/2014/main" id="{00000000-0008-0000-0100-00005F990000}"/>
            </a:ext>
          </a:extLst>
        </xdr:cNvPr>
        <xdr:cNvSpPr/>
      </xdr:nvSpPr>
      <xdr:spPr>
        <a:xfrm>
          <a:off x="10086975" y="16097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72</xdr:col>
      <xdr:colOff>0</xdr:colOff>
      <xdr:row>8</xdr:row>
      <xdr:rowOff>85725</xdr:rowOff>
    </xdr:to>
    <xdr:cxnSp macro="">
      <xdr:nvCxnSpPr>
        <xdr:cNvPr id="39264" name="직선 화살표 연결선 39263">
          <a:extLst>
            <a:ext uri="{FF2B5EF4-FFF2-40B4-BE49-F238E27FC236}">
              <a16:creationId xmlns:a16="http://schemas.microsoft.com/office/drawing/2014/main" id="{00000000-0008-0000-0100-000060990000}"/>
            </a:ext>
          </a:extLst>
        </xdr:cNvPr>
        <xdr:cNvCxnSpPr/>
      </xdr:nvCxnSpPr>
      <xdr:spPr>
        <a:xfrm>
          <a:off x="10086975" y="16668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39265" name="4">
          <a:extLst>
            <a:ext uri="{FF2B5EF4-FFF2-40B4-BE49-F238E27FC236}">
              <a16:creationId xmlns:a16="http://schemas.microsoft.com/office/drawing/2014/main" id="{00000000-0008-0000-0100-000061990000}"/>
            </a:ext>
          </a:extLst>
        </xdr:cNvPr>
        <xdr:cNvSpPr/>
      </xdr:nvSpPr>
      <xdr:spPr>
        <a:xfrm>
          <a:off x="10086975" y="14382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72</xdr:col>
      <xdr:colOff>0</xdr:colOff>
      <xdr:row>7</xdr:row>
      <xdr:rowOff>85725</xdr:rowOff>
    </xdr:to>
    <xdr:cxnSp macro="">
      <xdr:nvCxnSpPr>
        <xdr:cNvPr id="39266" name="직선 화살표 연결선 39265">
          <a:extLst>
            <a:ext uri="{FF2B5EF4-FFF2-40B4-BE49-F238E27FC236}">
              <a16:creationId xmlns:a16="http://schemas.microsoft.com/office/drawing/2014/main" id="{00000000-0008-0000-0100-000062990000}"/>
            </a:ext>
          </a:extLst>
        </xdr:cNvPr>
        <xdr:cNvCxnSpPr/>
      </xdr:nvCxnSpPr>
      <xdr:spPr>
        <a:xfrm>
          <a:off x="10086975" y="149542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85725</xdr:rowOff>
    </xdr:from>
    <xdr:to>
      <xdr:col>76</xdr:col>
      <xdr:colOff>1270</xdr:colOff>
      <xdr:row>6</xdr:row>
      <xdr:rowOff>200025</xdr:rowOff>
    </xdr:to>
    <xdr:sp macro="" textlink="">
      <xdr:nvSpPr>
        <xdr:cNvPr id="39267" name="3">
          <a:extLst>
            <a:ext uri="{FF2B5EF4-FFF2-40B4-BE49-F238E27FC236}">
              <a16:creationId xmlns:a16="http://schemas.microsoft.com/office/drawing/2014/main" id="{00000000-0008-0000-0100-000063990000}"/>
            </a:ext>
          </a:extLst>
        </xdr:cNvPr>
        <xdr:cNvSpPr/>
      </xdr:nvSpPr>
      <xdr:spPr>
        <a:xfrm>
          <a:off x="9344025" y="1209675"/>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142875</xdr:rowOff>
    </xdr:from>
    <xdr:to>
      <xdr:col>76</xdr:col>
      <xdr:colOff>0</xdr:colOff>
      <xdr:row>6</xdr:row>
      <xdr:rowOff>142875</xdr:rowOff>
    </xdr:to>
    <xdr:cxnSp macro="">
      <xdr:nvCxnSpPr>
        <xdr:cNvPr id="39268" name="직선 화살표 연결선 39267">
          <a:extLst>
            <a:ext uri="{FF2B5EF4-FFF2-40B4-BE49-F238E27FC236}">
              <a16:creationId xmlns:a16="http://schemas.microsoft.com/office/drawing/2014/main" id="{00000000-0008-0000-0100-000064990000}"/>
            </a:ext>
          </a:extLst>
        </xdr:cNvPr>
        <xdr:cNvCxnSpPr/>
      </xdr:nvCxnSpPr>
      <xdr:spPr>
        <a:xfrm>
          <a:off x="9344025" y="1266825"/>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39269" name="2">
          <a:extLst>
            <a:ext uri="{FF2B5EF4-FFF2-40B4-BE49-F238E27FC236}">
              <a16:creationId xmlns:a16="http://schemas.microsoft.com/office/drawing/2014/main" id="{00000000-0008-0000-0100-000065990000}"/>
            </a:ext>
          </a:extLst>
        </xdr:cNvPr>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76</xdr:col>
      <xdr:colOff>0</xdr:colOff>
      <xdr:row>5</xdr:row>
      <xdr:rowOff>76200</xdr:rowOff>
    </xdr:to>
    <xdr:cxnSp macro="">
      <xdr:nvCxnSpPr>
        <xdr:cNvPr id="39270" name="직선 화살표 연결선 39269">
          <a:extLst>
            <a:ext uri="{FF2B5EF4-FFF2-40B4-BE49-F238E27FC236}">
              <a16:creationId xmlns:a16="http://schemas.microsoft.com/office/drawing/2014/main" id="{00000000-0008-0000-0100-000066990000}"/>
            </a:ext>
          </a:extLst>
        </xdr:cNvPr>
        <xdr:cNvCxnSpPr/>
      </xdr:nvCxnSpPr>
      <xdr:spPr>
        <a:xfrm>
          <a:off x="9344025" y="1047750"/>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260</xdr:col>
      <xdr:colOff>1270</xdr:colOff>
      <xdr:row>4</xdr:row>
      <xdr:rowOff>133350</xdr:rowOff>
    </xdr:to>
    <xdr:sp macro="" textlink="">
      <xdr:nvSpPr>
        <xdr:cNvPr id="39271" name="1">
          <a:extLst>
            <a:ext uri="{FF2B5EF4-FFF2-40B4-BE49-F238E27FC236}">
              <a16:creationId xmlns:a16="http://schemas.microsoft.com/office/drawing/2014/main" id="{00000000-0008-0000-0100-000067990000}"/>
            </a:ext>
          </a:extLst>
        </xdr:cNvPr>
        <xdr:cNvSpPr/>
      </xdr:nvSpPr>
      <xdr:spPr>
        <a:xfrm>
          <a:off x="9344025" y="838200"/>
          <a:ext cx="12974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159</xdr:col>
      <xdr:colOff>31142</xdr:colOff>
      <xdr:row>4</xdr:row>
      <xdr:rowOff>76200</xdr:rowOff>
    </xdr:to>
    <xdr:cxnSp macro="">
      <xdr:nvCxnSpPr>
        <xdr:cNvPr id="39272" name="직선 화살표 연결선 39271">
          <a:extLst>
            <a:ext uri="{FF2B5EF4-FFF2-40B4-BE49-F238E27FC236}">
              <a16:creationId xmlns:a16="http://schemas.microsoft.com/office/drawing/2014/main" id="{00000000-0008-0000-0100-000068990000}"/>
            </a:ext>
          </a:extLst>
        </xdr:cNvPr>
        <xdr:cNvCxnSpPr/>
      </xdr:nvCxnSpPr>
      <xdr:spPr>
        <a:xfrm>
          <a:off x="9344025" y="895350"/>
          <a:ext cx="72320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9273" name="ProgressContainer">
          <a:extLst>
            <a:ext uri="{FF2B5EF4-FFF2-40B4-BE49-F238E27FC236}">
              <a16:creationId xmlns:a16="http://schemas.microsoft.com/office/drawing/2014/main" id="{00000000-0008-0000-0100-000069990000}"/>
            </a:ext>
          </a:extLst>
        </xdr:cNvP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317618</xdr:colOff>
      <xdr:row>0</xdr:row>
      <xdr:rowOff>221361</xdr:rowOff>
    </xdr:to>
    <xdr:sp macro="" textlink="">
      <xdr:nvSpPr>
        <xdr:cNvPr id="39274" name="ActualBar">
          <a:extLst>
            <a:ext uri="{FF2B5EF4-FFF2-40B4-BE49-F238E27FC236}">
              <a16:creationId xmlns:a16="http://schemas.microsoft.com/office/drawing/2014/main" id="{00000000-0008-0000-0100-00006A990000}"/>
            </a:ext>
          </a:extLst>
        </xdr:cNvPr>
        <xdr:cNvSpPr/>
      </xdr:nvSpPr>
      <xdr:spPr>
        <a:xfrm>
          <a:off x="8150225" y="132461"/>
          <a:ext cx="177918" cy="88900"/>
        </a:xfrm>
        <a:prstGeom prst="rect">
          <a:avLst/>
        </a:prstGeom>
        <a:solidFill>
          <a:srgbClr val="00CC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311658</xdr:colOff>
      <xdr:row>0</xdr:row>
      <xdr:rowOff>70231</xdr:rowOff>
    </xdr:from>
    <xdr:to>
      <xdr:col>29</xdr:col>
      <xdr:colOff>311658</xdr:colOff>
      <xdr:row>0</xdr:row>
      <xdr:rowOff>301371</xdr:rowOff>
    </xdr:to>
    <xdr:cxnSp macro="">
      <xdr:nvCxnSpPr>
        <xdr:cNvPr id="39275" name="PlannedMarker">
          <a:extLst>
            <a:ext uri="{FF2B5EF4-FFF2-40B4-BE49-F238E27FC236}">
              <a16:creationId xmlns:a16="http://schemas.microsoft.com/office/drawing/2014/main" id="{00000000-0008-0000-0100-00006B990000}"/>
            </a:ext>
          </a:extLst>
        </xdr:cNvPr>
        <xdr:cNvCxnSpPr/>
      </xdr:nvCxnSpPr>
      <xdr:spPr>
        <a:xfrm>
          <a:off x="8322183"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39276" name="ActualLabel">
          <a:extLst>
            <a:ext uri="{FF2B5EF4-FFF2-40B4-BE49-F238E27FC236}">
              <a16:creationId xmlns:a16="http://schemas.microsoft.com/office/drawing/2014/main" id="{00000000-0008-0000-0100-00006C990000}"/>
            </a:ext>
          </a:extLst>
        </xdr:cNvPr>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2026-07-10,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17.51%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16.93%</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election activeCell="R24" sqref="R24"/>
    </sheetView>
  </sheetViews>
  <sheetFormatPr defaultColWidth="9" defaultRowHeight="15.5"/>
  <cols>
    <col min="1" max="1" width="5.83203125" style="76" customWidth="1"/>
    <col min="2" max="2" width="29.8320312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1507</v>
      </c>
      <c r="C1" s="149"/>
      <c r="D1" s="149"/>
      <c r="E1" s="149"/>
      <c r="F1" s="149"/>
      <c r="G1" s="149"/>
      <c r="H1" s="150"/>
      <c r="I1" s="150"/>
      <c r="J1" s="305" t="s">
        <v>1380</v>
      </c>
      <c r="K1" s="306"/>
      <c r="L1" s="306"/>
    </row>
    <row r="2" spans="1:12" s="32" customFormat="1" ht="18" customHeight="1">
      <c r="A2" s="147"/>
      <c r="B2" s="148"/>
      <c r="C2" s="148"/>
      <c r="D2" s="148"/>
      <c r="E2" s="148"/>
      <c r="F2" s="148"/>
      <c r="G2" s="148"/>
      <c r="H2" s="303" t="s">
        <v>1508</v>
      </c>
      <c r="I2" s="304"/>
      <c r="J2" s="304"/>
      <c r="K2" s="304"/>
      <c r="L2" s="304"/>
    </row>
    <row r="4" spans="1:12" ht="17.25" customHeight="1">
      <c r="B4" s="307" t="s">
        <v>1509</v>
      </c>
      <c r="C4" s="308"/>
      <c r="D4" s="308"/>
      <c r="E4" s="308"/>
      <c r="F4" s="308"/>
      <c r="G4" s="308"/>
      <c r="H4" s="308"/>
      <c r="I4" s="308"/>
      <c r="J4" s="308"/>
      <c r="K4" s="308"/>
      <c r="L4" s="308"/>
    </row>
    <row r="5" spans="1:12" ht="27.75" customHeight="1">
      <c r="B5" s="308"/>
      <c r="C5" s="308"/>
      <c r="D5" s="308"/>
      <c r="E5" s="308"/>
      <c r="F5" s="308"/>
      <c r="G5" s="308"/>
      <c r="H5" s="308"/>
      <c r="I5" s="308"/>
      <c r="J5" s="308"/>
      <c r="K5" s="308"/>
      <c r="L5" s="308"/>
    </row>
    <row r="6" spans="1:12" s="32" customFormat="1" ht="13">
      <c r="B6" s="77"/>
    </row>
    <row r="7" spans="1:12" s="32" customFormat="1" ht="18.5">
      <c r="B7" s="78" t="s">
        <v>1510</v>
      </c>
      <c r="D7" s="79"/>
    </row>
    <row r="8" spans="1:12" s="32" customFormat="1" ht="7.5" customHeight="1">
      <c r="B8" s="77"/>
    </row>
    <row r="9" spans="1:12" s="32" customFormat="1" ht="29.25" customHeight="1" thickBot="1">
      <c r="A9" s="80"/>
      <c r="B9" s="81" t="s">
        <v>434</v>
      </c>
      <c r="C9" s="80"/>
      <c r="D9" s="301" t="s">
        <v>1511</v>
      </c>
      <c r="E9" s="301"/>
      <c r="F9" s="301"/>
      <c r="G9" s="301"/>
      <c r="H9" s="301"/>
      <c r="I9" s="301"/>
      <c r="J9" s="301"/>
      <c r="K9" s="301"/>
      <c r="L9" s="301"/>
    </row>
    <row r="10" spans="1:12" s="32" customFormat="1" ht="29.25" customHeight="1" thickTop="1" thickBot="1">
      <c r="A10" s="80"/>
      <c r="B10" s="82" t="s">
        <v>435</v>
      </c>
      <c r="C10" s="80"/>
      <c r="D10" s="301" t="s">
        <v>1512</v>
      </c>
      <c r="E10" s="301"/>
      <c r="F10" s="301"/>
      <c r="G10" s="301"/>
      <c r="H10" s="301"/>
      <c r="I10" s="301"/>
      <c r="J10" s="301"/>
      <c r="K10" s="301"/>
      <c r="L10" s="301"/>
    </row>
    <row r="11" spans="1:12" s="32" customFormat="1" ht="29.25" customHeight="1" thickTop="1" thickBot="1">
      <c r="A11" s="80"/>
      <c r="B11" s="83" t="s">
        <v>436</v>
      </c>
      <c r="C11" s="80"/>
      <c r="D11" s="301" t="s">
        <v>1513</v>
      </c>
      <c r="E11" s="301"/>
      <c r="F11" s="301"/>
      <c r="G11" s="301"/>
      <c r="H11" s="301"/>
      <c r="I11" s="301"/>
      <c r="J11" s="301"/>
      <c r="K11" s="301"/>
      <c r="L11" s="301"/>
    </row>
    <row r="12" spans="1:12" s="32" customFormat="1" ht="29.25" customHeight="1" thickTop="1" thickBot="1">
      <c r="A12" s="80"/>
      <c r="B12" s="84" t="s">
        <v>437</v>
      </c>
      <c r="C12" s="80"/>
      <c r="D12" s="301" t="s">
        <v>1514</v>
      </c>
      <c r="E12" s="301"/>
      <c r="F12" s="301"/>
      <c r="G12" s="301"/>
      <c r="H12" s="301"/>
      <c r="I12" s="301"/>
      <c r="J12" s="301"/>
      <c r="K12" s="301"/>
      <c r="L12" s="301"/>
    </row>
    <row r="13" spans="1:12" s="32" customFormat="1" ht="29.25" customHeight="1" thickTop="1" thickBot="1">
      <c r="A13" s="80"/>
      <c r="B13" s="85" t="s">
        <v>1473</v>
      </c>
      <c r="C13" s="80"/>
      <c r="D13" s="302" t="s">
        <v>1515</v>
      </c>
      <c r="E13" s="301"/>
      <c r="F13" s="301"/>
      <c r="G13" s="301"/>
      <c r="H13" s="301"/>
      <c r="I13" s="301"/>
      <c r="J13" s="301"/>
      <c r="K13" s="301"/>
      <c r="L13" s="301"/>
    </row>
    <row r="14" spans="1:12" s="32" customFormat="1" ht="29.25" customHeight="1" thickTop="1" thickBot="1">
      <c r="A14" s="80"/>
      <c r="B14" s="86" t="s">
        <v>438</v>
      </c>
      <c r="C14" s="80"/>
      <c r="D14" s="301" t="s">
        <v>1516</v>
      </c>
      <c r="E14" s="301"/>
      <c r="F14" s="301"/>
      <c r="G14" s="301"/>
      <c r="H14" s="301"/>
      <c r="I14" s="301"/>
      <c r="J14" s="301"/>
      <c r="K14" s="301"/>
      <c r="L14" s="301"/>
    </row>
    <row r="15" spans="1:12" ht="16" thickTop="1">
      <c r="A15" s="87"/>
      <c r="B15" s="88"/>
      <c r="C15" s="87"/>
      <c r="D15" s="89"/>
      <c r="E15" s="89"/>
      <c r="F15" s="89"/>
      <c r="G15" s="89"/>
      <c r="H15" s="89"/>
      <c r="I15" s="89"/>
      <c r="J15" s="89"/>
      <c r="K15" s="89"/>
      <c r="L15" s="89"/>
    </row>
    <row r="16" spans="1:12" s="32" customFormat="1" ht="18.5">
      <c r="B16" s="78" t="s">
        <v>1517</v>
      </c>
      <c r="D16" s="79"/>
    </row>
    <row r="17" spans="2:12" s="32" customFormat="1" ht="5.25" customHeight="1">
      <c r="B17" s="90"/>
      <c r="D17" s="79"/>
    </row>
    <row r="18" spans="2:12" s="32" customFormat="1" ht="26.25" customHeight="1" thickBot="1">
      <c r="B18" s="91" t="s">
        <v>1518</v>
      </c>
      <c r="D18" s="300" t="s">
        <v>1530</v>
      </c>
      <c r="E18" s="300"/>
      <c r="F18" s="300"/>
      <c r="G18" s="300"/>
      <c r="H18" s="300"/>
      <c r="I18" s="300"/>
      <c r="J18" s="300"/>
      <c r="K18" s="300"/>
      <c r="L18" s="98" t="s">
        <v>1542</v>
      </c>
    </row>
    <row r="19" spans="2:12" s="32" customFormat="1" ht="37.5" customHeight="1" thickTop="1" thickBot="1">
      <c r="B19" s="91" t="s">
        <v>1589</v>
      </c>
      <c r="D19" s="300" t="s">
        <v>1531</v>
      </c>
      <c r="E19" s="300"/>
      <c r="F19" s="300"/>
      <c r="G19" s="300"/>
      <c r="H19" s="300"/>
      <c r="I19" s="300"/>
      <c r="J19" s="300"/>
      <c r="K19" s="300"/>
      <c r="L19" s="98" t="s">
        <v>1542</v>
      </c>
    </row>
    <row r="20" spans="2:12" s="32" customFormat="1" ht="26.25" customHeight="1" thickTop="1" thickBot="1">
      <c r="B20" s="91" t="s">
        <v>1519</v>
      </c>
      <c r="D20" s="300" t="s">
        <v>1532</v>
      </c>
      <c r="E20" s="300"/>
      <c r="F20" s="300"/>
      <c r="G20" s="300"/>
      <c r="H20" s="300"/>
      <c r="I20" s="300"/>
      <c r="J20" s="300"/>
      <c r="K20" s="300"/>
      <c r="L20" s="98" t="s">
        <v>1542</v>
      </c>
    </row>
    <row r="21" spans="2:12" s="32" customFormat="1" ht="26.25" customHeight="1" thickTop="1" thickBot="1">
      <c r="B21" s="91" t="s">
        <v>1520</v>
      </c>
      <c r="D21" s="300" t="s">
        <v>1533</v>
      </c>
      <c r="E21" s="300"/>
      <c r="F21" s="300"/>
      <c r="G21" s="300"/>
      <c r="H21" s="300"/>
      <c r="I21" s="300"/>
      <c r="J21" s="300"/>
      <c r="K21" s="300"/>
      <c r="L21" s="98" t="s">
        <v>1542</v>
      </c>
    </row>
    <row r="22" spans="2:12" s="32" customFormat="1" ht="33.75" customHeight="1" thickTop="1" thickBot="1">
      <c r="B22" s="91" t="s">
        <v>1521</v>
      </c>
      <c r="D22" s="300" t="s">
        <v>1534</v>
      </c>
      <c r="E22" s="300"/>
      <c r="F22" s="300"/>
      <c r="G22" s="300"/>
      <c r="H22" s="300"/>
      <c r="I22" s="300"/>
      <c r="J22" s="300"/>
      <c r="K22" s="300"/>
      <c r="L22" s="98" t="s">
        <v>1542</v>
      </c>
    </row>
    <row r="23" spans="2:12" s="32" customFormat="1" ht="52.5" customHeight="1" thickTop="1" thickBot="1">
      <c r="B23" s="91" t="s">
        <v>1522</v>
      </c>
      <c r="D23" s="300" t="s">
        <v>1535</v>
      </c>
      <c r="E23" s="300"/>
      <c r="F23" s="300"/>
      <c r="G23" s="300"/>
      <c r="H23" s="300"/>
      <c r="I23" s="300"/>
      <c r="J23" s="300"/>
      <c r="K23" s="300"/>
      <c r="L23" s="98" t="s">
        <v>1542</v>
      </c>
    </row>
    <row r="24" spans="2:12" s="32" customFormat="1" ht="47.25" customHeight="1" thickTop="1" thickBot="1">
      <c r="B24" s="91" t="s">
        <v>1523</v>
      </c>
      <c r="D24" s="300" t="s">
        <v>1536</v>
      </c>
      <c r="E24" s="300"/>
      <c r="F24" s="300"/>
      <c r="G24" s="300"/>
      <c r="H24" s="300"/>
      <c r="I24" s="300"/>
      <c r="J24" s="300"/>
      <c r="K24" s="300"/>
      <c r="L24" s="98" t="s">
        <v>1542</v>
      </c>
    </row>
    <row r="25" spans="2:12" s="32" customFormat="1" ht="33.75" customHeight="1" thickTop="1" thickBot="1">
      <c r="B25" s="91" t="s">
        <v>1524</v>
      </c>
      <c r="D25" s="300" t="s">
        <v>1537</v>
      </c>
      <c r="E25" s="300"/>
      <c r="F25" s="300"/>
      <c r="G25" s="300"/>
      <c r="H25" s="300"/>
      <c r="I25" s="300"/>
      <c r="J25" s="300"/>
      <c r="K25" s="300"/>
      <c r="L25" s="98" t="s">
        <v>1542</v>
      </c>
    </row>
    <row r="26" spans="2:12" s="32" customFormat="1" ht="53.25" customHeight="1" thickTop="1" thickBot="1">
      <c r="B26" s="91" t="s">
        <v>1525</v>
      </c>
      <c r="D26" s="300" t="s">
        <v>1538</v>
      </c>
      <c r="E26" s="300"/>
      <c r="F26" s="300"/>
      <c r="G26" s="300"/>
      <c r="H26" s="300"/>
      <c r="I26" s="300"/>
      <c r="J26" s="300"/>
      <c r="K26" s="300"/>
      <c r="L26" s="98" t="s">
        <v>1542</v>
      </c>
    </row>
    <row r="27" spans="2:12" s="32" customFormat="1" ht="35.25" customHeight="1" thickTop="1" thickBot="1">
      <c r="B27" s="91" t="s">
        <v>1526</v>
      </c>
      <c r="D27" s="300" t="s">
        <v>1539</v>
      </c>
      <c r="E27" s="300"/>
      <c r="F27" s="300"/>
      <c r="G27" s="300"/>
      <c r="H27" s="300"/>
      <c r="I27" s="300"/>
      <c r="J27" s="300"/>
      <c r="K27" s="300"/>
      <c r="L27" s="98" t="s">
        <v>1542</v>
      </c>
    </row>
    <row r="28" spans="2:12" s="32" customFormat="1" ht="43.5" customHeight="1" thickTop="1" thickBot="1">
      <c r="B28" s="91" t="s">
        <v>437</v>
      </c>
      <c r="D28" s="300" t="s">
        <v>1540</v>
      </c>
      <c r="E28" s="300"/>
      <c r="F28" s="300"/>
      <c r="G28" s="300"/>
      <c r="H28" s="300"/>
      <c r="I28" s="300"/>
      <c r="J28" s="300"/>
      <c r="K28" s="300"/>
      <c r="L28" s="98" t="s">
        <v>1542</v>
      </c>
    </row>
    <row r="29" spans="2:12" s="32" customFormat="1" ht="49.5" customHeight="1" thickTop="1" thickBot="1">
      <c r="B29" s="91" t="s">
        <v>1527</v>
      </c>
      <c r="D29" s="300" t="s">
        <v>1541</v>
      </c>
      <c r="E29" s="300"/>
      <c r="F29" s="300"/>
      <c r="G29" s="300"/>
      <c r="H29" s="300"/>
      <c r="I29" s="300"/>
      <c r="J29" s="300"/>
      <c r="K29" s="300"/>
      <c r="L29" s="98" t="s">
        <v>1542</v>
      </c>
    </row>
    <row r="30" spans="2:12" s="32" customFormat="1" ht="24.75" customHeight="1" thickTop="1" thickBot="1">
      <c r="B30" s="137" t="s">
        <v>1528</v>
      </c>
      <c r="D30" s="300" t="s">
        <v>1223</v>
      </c>
      <c r="E30" s="300"/>
      <c r="F30" s="300"/>
      <c r="G30" s="300"/>
      <c r="H30" s="300"/>
      <c r="I30" s="300"/>
      <c r="J30" s="300"/>
      <c r="K30" s="300"/>
      <c r="L30" s="98" t="s">
        <v>1542</v>
      </c>
    </row>
    <row r="31" spans="2:12" s="32" customFormat="1" ht="24.75" customHeight="1" thickTop="1" thickBot="1">
      <c r="B31" s="91" t="s">
        <v>1529</v>
      </c>
      <c r="D31" s="300" t="s">
        <v>1224</v>
      </c>
      <c r="E31" s="300"/>
      <c r="F31" s="300"/>
      <c r="G31" s="300"/>
      <c r="H31" s="300"/>
      <c r="I31" s="300"/>
      <c r="J31" s="300"/>
      <c r="K31" s="300"/>
      <c r="L31" s="98" t="s">
        <v>1542</v>
      </c>
    </row>
    <row r="32" spans="2:12" s="32" customFormat="1" ht="24.75" customHeight="1" thickTop="1" thickBot="1">
      <c r="B32" s="91" t="s">
        <v>1235</v>
      </c>
      <c r="D32" s="300" t="s">
        <v>1238</v>
      </c>
      <c r="E32" s="300"/>
      <c r="F32" s="300"/>
      <c r="G32" s="300"/>
      <c r="H32" s="300"/>
      <c r="I32" s="300"/>
      <c r="J32" s="300"/>
      <c r="K32" s="300"/>
      <c r="L32" s="98" t="s">
        <v>1542</v>
      </c>
    </row>
    <row r="33" spans="2:12" s="32" customFormat="1" ht="15" thickTop="1">
      <c r="B33" s="92"/>
      <c r="D33" s="79"/>
      <c r="L33" s="80"/>
    </row>
    <row r="34" spans="2:12" s="32" customFormat="1" ht="18.75" customHeight="1">
      <c r="B34" s="93" t="s">
        <v>1543</v>
      </c>
      <c r="C34" s="94"/>
      <c r="D34" s="95"/>
      <c r="E34" s="94"/>
      <c r="F34" s="94"/>
      <c r="G34" s="94"/>
      <c r="H34" s="94"/>
      <c r="I34" s="94"/>
      <c r="J34" s="94"/>
      <c r="K34" s="94"/>
      <c r="L34" s="96"/>
    </row>
    <row r="35" spans="2:12" s="32" customFormat="1" ht="59.25" customHeight="1">
      <c r="B35" s="309" t="s">
        <v>1544</v>
      </c>
      <c r="C35" s="309"/>
      <c r="D35" s="309"/>
      <c r="E35" s="309"/>
      <c r="F35" s="309"/>
      <c r="G35" s="309"/>
      <c r="H35" s="309"/>
      <c r="I35" s="309"/>
      <c r="J35" s="309"/>
      <c r="K35" s="309"/>
      <c r="L35" s="309"/>
    </row>
  </sheetData>
  <mergeCells count="25">
    <mergeCell ref="D31:K31"/>
    <mergeCell ref="D30:K30"/>
    <mergeCell ref="D28:K28"/>
    <mergeCell ref="D29:K29"/>
    <mergeCell ref="B35:L35"/>
    <mergeCell ref="D32:K32"/>
    <mergeCell ref="H2:L2"/>
    <mergeCell ref="D22:K2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000-000000000000}"/>
    <hyperlink ref="B10" location="Progress!A1" display="Progress" xr:uid="{00000000-0004-0000-0000-000001000000}"/>
    <hyperlink ref="B11" location="AnalysisReport!A1" display="AnalysisReport" xr:uid="{00000000-0004-0000-0000-000002000000}"/>
    <hyperlink ref="L18" r:id="rId1" display="https://xlworks.net/xlgantt-easy-tip/" xr:uid="{00000000-0004-0000-0000-000003000000}"/>
    <hyperlink ref="L19" r:id="rId2" display="https://xlworks.net/xlgantt-howto-02-task/" xr:uid="{00000000-0004-0000-0000-000004000000}"/>
    <hyperlink ref="L20" r:id="rId3" display="https://xlworks.net/xlgantt-howto-03-gantt-chart/" xr:uid="{00000000-0004-0000-0000-000005000000}"/>
    <hyperlink ref="L22" r:id="rId4" display="https://xlworks.net/xlgantt-howto-05-analysis-report/" xr:uid="{00000000-0004-0000-0000-000006000000}"/>
    <hyperlink ref="L23" r:id="rId5" display="https://xlworks.net/xlgantt-howto-06-schedule-change-management/" xr:uid="{00000000-0004-0000-0000-000007000000}"/>
    <hyperlink ref="L24" r:id="rId6" display="https://xlworks.net/xlgantt-howto-07-deliverables/" xr:uid="{00000000-0004-0000-0000-000008000000}"/>
    <hyperlink ref="L25" r:id="rId7" display="https://xlworks.net/xlgantt-howto-08-add-tasks-to-outlook/" xr:uid="{00000000-0004-0000-0000-000009000000}"/>
    <hyperlink ref="L26" r:id="rId8" display="https://xlworks.net/xlgantt-howto-09-multilingual-support/" xr:uid="{00000000-0004-0000-0000-00000A000000}"/>
    <hyperlink ref="L27" r:id="rId9" display="https://xlworks.net/xlgantt-howto-10-import-schedule/" xr:uid="{00000000-0004-0000-0000-00000B000000}"/>
    <hyperlink ref="L28" r:id="rId10" display="https://xlworks.net/xlgantt-howto-11-calendar/" xr:uid="{00000000-0004-0000-0000-00000C000000}"/>
    <hyperlink ref="L29" r:id="rId11" display="https://xlworks.net/xlgantt-howto-12-integration-with-excel/" xr:uid="{00000000-0004-0000-0000-00000D000000}"/>
    <hyperlink ref="L21" r:id="rId12" display="https://xlworks.net/xlgantt-howto-04-project-progress/" xr:uid="{00000000-0004-0000-0000-00000E000000}"/>
    <hyperlink ref="B12" location="Calendar!A1" display="Calendar" xr:uid="{00000000-0004-0000-0000-00000F000000}"/>
    <hyperlink ref="J1" r:id="rId13" display="https://xlworks.net/xlgantt-project-scheduler/" xr:uid="{00000000-0004-0000-0000-000010000000}"/>
    <hyperlink ref="H2" r:id="rId14" display="https://xlworks.net/xlgantt-project-scheduler/" xr:uid="{00000000-0004-0000-0000-000011000000}"/>
    <hyperlink ref="L31" r:id="rId15" display="https://xlworks.net/xlgantt-howto-15-color-theme/" xr:uid="{00000000-0004-0000-0000-000012000000}"/>
    <hyperlink ref="L30" r:id="rId16" display="https://xlworks.net/xlgantt-howto-14-workloads/" xr:uid="{00000000-0004-0000-0000-000013000000}"/>
    <hyperlink ref="L32" r:id="rId17" display="https://xlworks.net/xlgantt-howto-16-task-dependencies/" xr:uid="{00000000-0004-0000-0000-000014000000}"/>
    <hyperlink ref="B13" location="Progress_Data!A1" display="Progress_Data" xr:uid="{00000000-0004-0000-0000-000015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48" activePane="bottomLeft" state="frozen"/>
      <selection activeCell="D1" sqref="D1"/>
      <selection pane="bottomLeft" activeCell="O59" sqref="O59"/>
    </sheetView>
  </sheetViews>
  <sheetFormatPr defaultColWidth="10" defaultRowHeight="12" customHeight="1" outlineLevelRow="2"/>
  <cols>
    <col min="1" max="1" width="1.58203125" style="108" hidden="1" customWidth="1"/>
    <col min="2" max="2" width="9" style="108" hidden="1" customWidth="1"/>
    <col min="3" max="3" width="8.33203125" style="108" hidden="1" customWidth="1"/>
    <col min="4" max="4" width="6.58203125" style="109" customWidth="1"/>
    <col min="5" max="13" width="2.75" style="110" customWidth="1"/>
    <col min="14" max="14" width="4.5" style="110" bestFit="1" customWidth="1"/>
    <col min="15" max="15" width="13.75" style="110" customWidth="1"/>
    <col min="16" max="17" width="10.58203125" style="111" bestFit="1" customWidth="1"/>
    <col min="18" max="18" width="4.83203125" style="110" hidden="1" customWidth="1"/>
    <col min="19" max="19" width="7.33203125" style="112" hidden="1" customWidth="1"/>
    <col min="20" max="20" width="7.25" style="112" hidden="1" customWidth="1"/>
    <col min="21" max="21" width="6" style="112" hidden="1" customWidth="1"/>
    <col min="22" max="22" width="5.83203125" style="112" hidden="1" customWidth="1"/>
    <col min="23" max="23" width="7.58203125" style="111" hidden="1" customWidth="1"/>
    <col min="24" max="24" width="5.08203125" style="111" hidden="1" customWidth="1"/>
    <col min="25" max="25" width="5" style="113" hidden="1" customWidth="1"/>
    <col min="26" max="26" width="5.25" style="114" hidden="1" customWidth="1"/>
    <col min="27" max="27" width="6" style="112" hidden="1" customWidth="1"/>
    <col min="28" max="28" width="12.83203125" style="110" customWidth="1"/>
    <col min="29" max="29" width="21.33203125" style="110" customWidth="1"/>
    <col min="30" max="30" width="7.58203125" style="115" bestFit="1" customWidth="1"/>
    <col min="31" max="31" width="8.33203125" style="116" bestFit="1" customWidth="1"/>
    <col min="32" max="262" width="0.75" style="100" customWidth="1"/>
    <col min="263" max="16384" width="10" style="100"/>
  </cols>
  <sheetData>
    <row r="1" spans="1:262" s="101" customFormat="1" ht="25" customHeight="1">
      <c r="A1" s="173"/>
      <c r="B1" s="196"/>
      <c r="C1" s="175"/>
      <c r="D1" s="180" t="e">
        <f ca="1">xlgantt.ProjectName()</f>
        <v>#NAME?</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e" cm="1">
        <f t="array" aca="1" ref="AC1" ca="1">xlgantt.ProjectProgress()</f>
        <v>#NAME?</v>
      </c>
      <c r="AD1" s="179"/>
      <c r="AE1" s="178"/>
      <c r="AF1" s="189" t="s">
        <v>1880</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68" t="s">
        <v>690</v>
      </c>
      <c r="AG2" s="268"/>
      <c r="AH2" s="268"/>
      <c r="AI2" s="268"/>
      <c r="AJ2" s="268"/>
      <c r="AK2" s="268"/>
      <c r="AL2" s="268"/>
      <c r="AM2" s="268" t="s">
        <v>1850</v>
      </c>
      <c r="AN2" s="268"/>
      <c r="AO2" s="268"/>
      <c r="AP2" s="268"/>
      <c r="AQ2" s="268"/>
      <c r="AR2" s="268"/>
      <c r="AS2" s="268"/>
      <c r="AT2" s="268" t="s">
        <v>1851</v>
      </c>
      <c r="AU2" s="268"/>
      <c r="AV2" s="268"/>
      <c r="AW2" s="268"/>
      <c r="AX2" s="268"/>
      <c r="AY2" s="268"/>
      <c r="AZ2" s="268"/>
      <c r="BA2" s="268" t="s">
        <v>1852</v>
      </c>
      <c r="BB2" s="268"/>
      <c r="BC2" s="268"/>
      <c r="BD2" s="268"/>
      <c r="BE2" s="268"/>
      <c r="BF2" s="268"/>
      <c r="BG2" s="268"/>
      <c r="BH2" s="268" t="s">
        <v>1352</v>
      </c>
      <c r="BI2" s="268"/>
      <c r="BJ2" s="268"/>
      <c r="BK2" s="268"/>
      <c r="BL2" s="268"/>
      <c r="BM2" s="268"/>
      <c r="BN2" s="268"/>
      <c r="BO2" s="268" t="s">
        <v>1853</v>
      </c>
      <c r="BP2" s="268"/>
      <c r="BQ2" s="268"/>
      <c r="BR2" s="268"/>
      <c r="BS2" s="268"/>
      <c r="BT2" s="268"/>
      <c r="BU2" s="268"/>
      <c r="BV2" s="268" t="s">
        <v>1854</v>
      </c>
      <c r="BW2" s="268"/>
      <c r="BX2" s="268"/>
      <c r="BY2" s="268"/>
      <c r="BZ2" s="268"/>
      <c r="CA2" s="268"/>
      <c r="CB2" s="268"/>
      <c r="CC2" s="268" t="s">
        <v>1855</v>
      </c>
      <c r="CD2" s="268"/>
      <c r="CE2" s="268"/>
      <c r="CF2" s="268"/>
      <c r="CG2" s="268"/>
      <c r="CH2" s="268"/>
      <c r="CI2" s="268"/>
      <c r="CJ2" s="268" t="s">
        <v>1353</v>
      </c>
      <c r="CK2" s="268"/>
      <c r="CL2" s="268"/>
      <c r="CM2" s="268"/>
      <c r="CN2" s="268"/>
      <c r="CO2" s="268"/>
      <c r="CP2" s="268"/>
      <c r="CQ2" s="268" t="s">
        <v>1856</v>
      </c>
      <c r="CR2" s="268"/>
      <c r="CS2" s="268"/>
      <c r="CT2" s="268"/>
      <c r="CU2" s="268"/>
      <c r="CV2" s="268"/>
      <c r="CW2" s="268"/>
      <c r="CX2" s="268" t="s">
        <v>1857</v>
      </c>
      <c r="CY2" s="268"/>
      <c r="CZ2" s="268"/>
      <c r="DA2" s="268"/>
      <c r="DB2" s="268"/>
      <c r="DC2" s="268"/>
      <c r="DD2" s="268"/>
      <c r="DE2" s="268" t="s">
        <v>1858</v>
      </c>
      <c r="DF2" s="268"/>
      <c r="DG2" s="268"/>
      <c r="DH2" s="268"/>
      <c r="DI2" s="268"/>
      <c r="DJ2" s="268"/>
      <c r="DK2" s="268"/>
      <c r="DL2" s="268" t="s">
        <v>1461</v>
      </c>
      <c r="DM2" s="268"/>
      <c r="DN2" s="268"/>
      <c r="DO2" s="268"/>
      <c r="DP2" s="268"/>
      <c r="DQ2" s="268"/>
      <c r="DR2" s="268"/>
      <c r="DS2" s="268" t="s">
        <v>1860</v>
      </c>
      <c r="DT2" s="268"/>
      <c r="DU2" s="268"/>
      <c r="DV2" s="268"/>
      <c r="DW2" s="268"/>
      <c r="DX2" s="268"/>
      <c r="DY2" s="268"/>
      <c r="DZ2" s="268" t="s">
        <v>1861</v>
      </c>
      <c r="EA2" s="268"/>
      <c r="EB2" s="268"/>
      <c r="EC2" s="268"/>
      <c r="ED2" s="268"/>
      <c r="EE2" s="268"/>
      <c r="EF2" s="268"/>
      <c r="EG2" s="268" t="s">
        <v>1862</v>
      </c>
      <c r="EH2" s="268"/>
      <c r="EI2" s="268"/>
      <c r="EJ2" s="268"/>
      <c r="EK2" s="268"/>
      <c r="EL2" s="268"/>
      <c r="EM2" s="268"/>
      <c r="EN2" s="268" t="s">
        <v>1462</v>
      </c>
      <c r="EO2" s="268"/>
      <c r="EP2" s="268"/>
      <c r="EQ2" s="268"/>
      <c r="ER2" s="268"/>
      <c r="ES2" s="268"/>
      <c r="ET2" s="268"/>
      <c r="EU2" s="268" t="s">
        <v>1864</v>
      </c>
      <c r="EV2" s="268"/>
      <c r="EW2" s="268"/>
      <c r="EX2" s="268"/>
      <c r="EY2" s="268"/>
      <c r="EZ2" s="268"/>
      <c r="FA2" s="268"/>
      <c r="FB2" s="268" t="s">
        <v>1865</v>
      </c>
      <c r="FC2" s="268"/>
      <c r="FD2" s="268"/>
      <c r="FE2" s="268"/>
      <c r="FF2" s="268"/>
      <c r="FG2" s="268"/>
      <c r="FH2" s="268"/>
      <c r="FI2" s="268" t="s">
        <v>1866</v>
      </c>
      <c r="FJ2" s="268"/>
      <c r="FK2" s="268"/>
      <c r="FL2" s="268"/>
      <c r="FM2" s="268"/>
      <c r="FN2" s="268"/>
      <c r="FO2" s="268"/>
      <c r="FP2" s="268" t="s">
        <v>1463</v>
      </c>
      <c r="FQ2" s="268"/>
      <c r="FR2" s="268"/>
      <c r="FS2" s="268"/>
      <c r="FT2" s="268"/>
      <c r="FU2" s="268"/>
      <c r="FV2" s="268"/>
      <c r="FW2" s="268" t="s">
        <v>1868</v>
      </c>
      <c r="FX2" s="268"/>
      <c r="FY2" s="268"/>
      <c r="FZ2" s="268"/>
      <c r="GA2" s="268"/>
      <c r="GB2" s="268"/>
      <c r="GC2" s="268"/>
      <c r="GD2" s="268" t="s">
        <v>1869</v>
      </c>
      <c r="GE2" s="268"/>
      <c r="GF2" s="268"/>
      <c r="GG2" s="268"/>
      <c r="GH2" s="268"/>
      <c r="GI2" s="268"/>
      <c r="GJ2" s="268"/>
      <c r="GK2" s="268" t="s">
        <v>1870</v>
      </c>
      <c r="GL2" s="268"/>
      <c r="GM2" s="268"/>
      <c r="GN2" s="268"/>
      <c r="GO2" s="268"/>
      <c r="GP2" s="268"/>
      <c r="GQ2" s="268"/>
      <c r="GR2" s="268" t="s">
        <v>1623</v>
      </c>
      <c r="GS2" s="268"/>
      <c r="GT2" s="268"/>
      <c r="GU2" s="268"/>
      <c r="GV2" s="268"/>
      <c r="GW2" s="268"/>
      <c r="GX2" s="268"/>
      <c r="GY2" s="268" t="s">
        <v>1872</v>
      </c>
      <c r="GZ2" s="268"/>
      <c r="HA2" s="268"/>
      <c r="HB2" s="268"/>
      <c r="HC2" s="268"/>
      <c r="HD2" s="268"/>
      <c r="HE2" s="268"/>
      <c r="HF2" s="268" t="s">
        <v>1873</v>
      </c>
      <c r="HG2" s="268"/>
      <c r="HH2" s="268"/>
      <c r="HI2" s="268"/>
      <c r="HJ2" s="268"/>
      <c r="HK2" s="268"/>
      <c r="HL2" s="268"/>
      <c r="HM2" s="268" t="s">
        <v>1874</v>
      </c>
      <c r="HN2" s="268"/>
      <c r="HO2" s="268"/>
      <c r="HP2" s="268"/>
      <c r="HQ2" s="268"/>
      <c r="HR2" s="268"/>
      <c r="HS2" s="268"/>
      <c r="HT2" s="268" t="s">
        <v>1625</v>
      </c>
      <c r="HU2" s="268"/>
      <c r="HV2" s="268"/>
      <c r="HW2" s="268"/>
      <c r="HX2" s="268"/>
      <c r="HY2" s="268"/>
      <c r="HZ2" s="268"/>
      <c r="IA2" s="268" t="s">
        <v>1876</v>
      </c>
      <c r="IB2" s="268"/>
      <c r="IC2" s="268"/>
      <c r="ID2" s="268"/>
      <c r="IE2" s="268"/>
      <c r="IF2" s="268"/>
      <c r="IG2" s="268"/>
      <c r="IH2" s="268" t="s">
        <v>1878</v>
      </c>
      <c r="II2" s="268"/>
      <c r="IJ2" s="268"/>
      <c r="IK2" s="268"/>
      <c r="IL2" s="268"/>
      <c r="IM2" s="268"/>
      <c r="IN2" s="268"/>
      <c r="IO2" s="268" t="s">
        <v>1879</v>
      </c>
      <c r="IP2" s="268"/>
      <c r="IQ2" s="268"/>
      <c r="IR2" s="268"/>
      <c r="IS2" s="268"/>
      <c r="IT2" s="268"/>
      <c r="IU2" s="268"/>
      <c r="IV2" s="268" t="s">
        <v>1664</v>
      </c>
      <c r="IW2" s="268"/>
      <c r="IX2" s="268"/>
      <c r="IY2" s="268"/>
      <c r="IZ2" s="268"/>
      <c r="JA2" s="268"/>
      <c r="JB2" s="268"/>
    </row>
    <row r="3" spans="1:262" s="99" customFormat="1" ht="19" customHeight="1">
      <c r="A3" s="291" t="s">
        <v>1279</v>
      </c>
      <c r="B3" s="293" t="s">
        <v>1280</v>
      </c>
      <c r="C3" s="295" t="s">
        <v>1281</v>
      </c>
      <c r="D3" s="296" t="s">
        <v>1282</v>
      </c>
      <c r="E3" s="297" t="s">
        <v>1562</v>
      </c>
      <c r="F3" s="298"/>
      <c r="G3" s="298"/>
      <c r="H3" s="298"/>
      <c r="I3" s="298"/>
      <c r="J3" s="298"/>
      <c r="K3" s="298"/>
      <c r="L3" s="298"/>
      <c r="M3" s="298"/>
      <c r="N3" s="298"/>
      <c r="O3" s="284" t="s">
        <v>1563</v>
      </c>
      <c r="P3" s="284" t="s">
        <v>1564</v>
      </c>
      <c r="Q3" s="284" t="s">
        <v>1565</v>
      </c>
      <c r="R3" s="278" t="s">
        <v>437</v>
      </c>
      <c r="S3" s="272" t="s">
        <v>1566</v>
      </c>
      <c r="T3" s="289" t="s">
        <v>1567</v>
      </c>
      <c r="U3" s="272" t="s">
        <v>1568</v>
      </c>
      <c r="V3" s="272" t="s">
        <v>1569</v>
      </c>
      <c r="W3" s="274" t="s">
        <v>1570</v>
      </c>
      <c r="X3" s="274" t="s">
        <v>1571</v>
      </c>
      <c r="Y3" s="282" t="s">
        <v>1572</v>
      </c>
      <c r="Z3" s="287" t="s">
        <v>1573</v>
      </c>
      <c r="AA3" s="285" t="s">
        <v>1574</v>
      </c>
      <c r="AB3" s="284" t="s">
        <v>1575</v>
      </c>
      <c r="AC3" s="278" t="s">
        <v>1523</v>
      </c>
      <c r="AD3" s="280" t="s">
        <v>1576</v>
      </c>
      <c r="AE3" s="276" t="s">
        <v>1577</v>
      </c>
      <c r="AF3" s="270" t="s">
        <v>1724</v>
      </c>
      <c r="AG3" s="267"/>
      <c r="AH3" s="267"/>
      <c r="AI3" s="267"/>
      <c r="AJ3" s="267"/>
      <c r="AK3" s="267"/>
      <c r="AL3" s="267"/>
      <c r="AM3" s="266" t="s">
        <v>1470</v>
      </c>
      <c r="AN3" s="267"/>
      <c r="AO3" s="267"/>
      <c r="AP3" s="267"/>
      <c r="AQ3" s="267"/>
      <c r="AR3" s="267"/>
      <c r="AS3" s="267"/>
      <c r="AT3" s="266" t="s">
        <v>1604</v>
      </c>
      <c r="AU3" s="267"/>
      <c r="AV3" s="267"/>
      <c r="AW3" s="267"/>
      <c r="AX3" s="267"/>
      <c r="AY3" s="267"/>
      <c r="AZ3" s="267"/>
      <c r="BA3" s="266" t="s">
        <v>1687</v>
      </c>
      <c r="BB3" s="267"/>
      <c r="BC3" s="267"/>
      <c r="BD3" s="267"/>
      <c r="BE3" s="267"/>
      <c r="BF3" s="267"/>
      <c r="BG3" s="267"/>
      <c r="BH3" s="266" t="s">
        <v>1725</v>
      </c>
      <c r="BI3" s="267"/>
      <c r="BJ3" s="267"/>
      <c r="BK3" s="267"/>
      <c r="BL3" s="267"/>
      <c r="BM3" s="267"/>
      <c r="BN3" s="267"/>
      <c r="BO3" s="266" t="s">
        <v>1471</v>
      </c>
      <c r="BP3" s="267"/>
      <c r="BQ3" s="267"/>
      <c r="BR3" s="267"/>
      <c r="BS3" s="267"/>
      <c r="BT3" s="267"/>
      <c r="BU3" s="267"/>
      <c r="BV3" s="266" t="s">
        <v>1605</v>
      </c>
      <c r="BW3" s="267"/>
      <c r="BX3" s="267"/>
      <c r="BY3" s="267"/>
      <c r="BZ3" s="267"/>
      <c r="CA3" s="267"/>
      <c r="CB3" s="267"/>
      <c r="CC3" s="266" t="s">
        <v>1688</v>
      </c>
      <c r="CD3" s="267"/>
      <c r="CE3" s="267"/>
      <c r="CF3" s="267"/>
      <c r="CG3" s="267"/>
      <c r="CH3" s="267"/>
      <c r="CI3" s="267"/>
      <c r="CJ3" s="266" t="s">
        <v>1726</v>
      </c>
      <c r="CK3" s="267"/>
      <c r="CL3" s="267"/>
      <c r="CM3" s="267"/>
      <c r="CN3" s="267"/>
      <c r="CO3" s="267"/>
      <c r="CP3" s="267"/>
      <c r="CQ3" s="266" t="s">
        <v>1472</v>
      </c>
      <c r="CR3" s="267"/>
      <c r="CS3" s="267"/>
      <c r="CT3" s="267"/>
      <c r="CU3" s="267"/>
      <c r="CV3" s="267"/>
      <c r="CW3" s="267"/>
      <c r="CX3" s="266" t="s">
        <v>1606</v>
      </c>
      <c r="CY3" s="267"/>
      <c r="CZ3" s="267"/>
      <c r="DA3" s="267"/>
      <c r="DB3" s="267"/>
      <c r="DC3" s="267"/>
      <c r="DD3" s="267"/>
      <c r="DE3" s="266" t="s">
        <v>1689</v>
      </c>
      <c r="DF3" s="267"/>
      <c r="DG3" s="267"/>
      <c r="DH3" s="267"/>
      <c r="DI3" s="267"/>
      <c r="DJ3" s="267"/>
      <c r="DK3" s="267"/>
      <c r="DL3" s="266" t="s">
        <v>1727</v>
      </c>
      <c r="DM3" s="267"/>
      <c r="DN3" s="267"/>
      <c r="DO3" s="267"/>
      <c r="DP3" s="267"/>
      <c r="DQ3" s="267"/>
      <c r="DR3" s="267"/>
      <c r="DS3" s="266" t="s">
        <v>1859</v>
      </c>
      <c r="DT3" s="267"/>
      <c r="DU3" s="267"/>
      <c r="DV3" s="267"/>
      <c r="DW3" s="267"/>
      <c r="DX3" s="267"/>
      <c r="DY3" s="267"/>
      <c r="DZ3" s="266" t="s">
        <v>1622</v>
      </c>
      <c r="EA3" s="267"/>
      <c r="EB3" s="267"/>
      <c r="EC3" s="267"/>
      <c r="ED3" s="267"/>
      <c r="EE3" s="267"/>
      <c r="EF3" s="267"/>
      <c r="EG3" s="266" t="s">
        <v>1690</v>
      </c>
      <c r="EH3" s="267"/>
      <c r="EI3" s="267"/>
      <c r="EJ3" s="267"/>
      <c r="EK3" s="267"/>
      <c r="EL3" s="267"/>
      <c r="EM3" s="267"/>
      <c r="EN3" s="266" t="s">
        <v>1728</v>
      </c>
      <c r="EO3" s="267"/>
      <c r="EP3" s="267"/>
      <c r="EQ3" s="267"/>
      <c r="ER3" s="267"/>
      <c r="ES3" s="267"/>
      <c r="ET3" s="267"/>
      <c r="EU3" s="266" t="s">
        <v>1863</v>
      </c>
      <c r="EV3" s="267"/>
      <c r="EW3" s="267"/>
      <c r="EX3" s="267"/>
      <c r="EY3" s="267"/>
      <c r="EZ3" s="267"/>
      <c r="FA3" s="267"/>
      <c r="FB3" s="266" t="s">
        <v>1624</v>
      </c>
      <c r="FC3" s="267"/>
      <c r="FD3" s="267"/>
      <c r="FE3" s="267"/>
      <c r="FF3" s="267"/>
      <c r="FG3" s="267"/>
      <c r="FH3" s="267"/>
      <c r="FI3" s="266" t="s">
        <v>1691</v>
      </c>
      <c r="FJ3" s="267"/>
      <c r="FK3" s="267"/>
      <c r="FL3" s="267"/>
      <c r="FM3" s="267"/>
      <c r="FN3" s="267"/>
      <c r="FO3" s="267"/>
      <c r="FP3" s="266" t="s">
        <v>1729</v>
      </c>
      <c r="FQ3" s="267"/>
      <c r="FR3" s="267"/>
      <c r="FS3" s="267"/>
      <c r="FT3" s="267"/>
      <c r="FU3" s="267"/>
      <c r="FV3" s="267"/>
      <c r="FW3" s="266" t="s">
        <v>1867</v>
      </c>
      <c r="FX3" s="267"/>
      <c r="FY3" s="267"/>
      <c r="FZ3" s="267"/>
      <c r="GA3" s="267"/>
      <c r="GB3" s="267"/>
      <c r="GC3" s="267"/>
      <c r="GD3" s="266" t="s">
        <v>1663</v>
      </c>
      <c r="GE3" s="267"/>
      <c r="GF3" s="267"/>
      <c r="GG3" s="267"/>
      <c r="GH3" s="267"/>
      <c r="GI3" s="267"/>
      <c r="GJ3" s="267"/>
      <c r="GK3" s="266" t="s">
        <v>1692</v>
      </c>
      <c r="GL3" s="267"/>
      <c r="GM3" s="267"/>
      <c r="GN3" s="267"/>
      <c r="GO3" s="267"/>
      <c r="GP3" s="267"/>
      <c r="GQ3" s="267"/>
      <c r="GR3" s="266" t="s">
        <v>1730</v>
      </c>
      <c r="GS3" s="267"/>
      <c r="GT3" s="267"/>
      <c r="GU3" s="267"/>
      <c r="GV3" s="267"/>
      <c r="GW3" s="267"/>
      <c r="GX3" s="267"/>
      <c r="GY3" s="266" t="s">
        <v>1871</v>
      </c>
      <c r="GZ3" s="267"/>
      <c r="HA3" s="267"/>
      <c r="HB3" s="267"/>
      <c r="HC3" s="267"/>
      <c r="HD3" s="267"/>
      <c r="HE3" s="267"/>
      <c r="HF3" s="266" t="s">
        <v>1665</v>
      </c>
      <c r="HG3" s="267"/>
      <c r="HH3" s="267"/>
      <c r="HI3" s="267"/>
      <c r="HJ3" s="267"/>
      <c r="HK3" s="267"/>
      <c r="HL3" s="267"/>
      <c r="HM3" s="266" t="s">
        <v>1693</v>
      </c>
      <c r="HN3" s="267"/>
      <c r="HO3" s="267"/>
      <c r="HP3" s="267"/>
      <c r="HQ3" s="267"/>
      <c r="HR3" s="267"/>
      <c r="HS3" s="267"/>
      <c r="HT3" s="266" t="s">
        <v>1731</v>
      </c>
      <c r="HU3" s="267"/>
      <c r="HV3" s="267"/>
      <c r="HW3" s="267"/>
      <c r="HX3" s="267"/>
      <c r="HY3" s="267"/>
      <c r="HZ3" s="267"/>
      <c r="IA3" s="266" t="s">
        <v>1875</v>
      </c>
      <c r="IB3" s="267"/>
      <c r="IC3" s="267"/>
      <c r="ID3" s="267"/>
      <c r="IE3" s="267"/>
      <c r="IF3" s="267"/>
      <c r="IG3" s="267"/>
      <c r="IH3" s="266" t="s">
        <v>1877</v>
      </c>
      <c r="II3" s="267"/>
      <c r="IJ3" s="267"/>
      <c r="IK3" s="267"/>
      <c r="IL3" s="267"/>
      <c r="IM3" s="267"/>
      <c r="IN3" s="267"/>
      <c r="IO3" s="266" t="s">
        <v>1694</v>
      </c>
      <c r="IP3" s="267"/>
      <c r="IQ3" s="267"/>
      <c r="IR3" s="267"/>
      <c r="IS3" s="267"/>
      <c r="IT3" s="267"/>
      <c r="IU3" s="267"/>
      <c r="IV3" s="266" t="s">
        <v>1732</v>
      </c>
      <c r="IW3" s="267"/>
      <c r="IX3" s="267"/>
      <c r="IY3" s="267"/>
      <c r="IZ3" s="267"/>
      <c r="JA3" s="267"/>
      <c r="JB3" s="269"/>
    </row>
    <row r="4" spans="1:262" s="99" customFormat="1" ht="6" customHeight="1">
      <c r="A4" s="292"/>
      <c r="B4" s="294"/>
      <c r="C4" s="291"/>
      <c r="D4" s="279"/>
      <c r="E4" s="299"/>
      <c r="F4" s="298"/>
      <c r="G4" s="298"/>
      <c r="H4" s="298"/>
      <c r="I4" s="298"/>
      <c r="J4" s="298"/>
      <c r="K4" s="298"/>
      <c r="L4" s="298"/>
      <c r="M4" s="298"/>
      <c r="N4" s="298"/>
      <c r="O4" s="275"/>
      <c r="P4" s="275"/>
      <c r="Q4" s="275"/>
      <c r="R4" s="279"/>
      <c r="S4" s="273"/>
      <c r="T4" s="290"/>
      <c r="U4" s="273"/>
      <c r="V4" s="273"/>
      <c r="W4" s="275"/>
      <c r="X4" s="275"/>
      <c r="Y4" s="283"/>
      <c r="Z4" s="288"/>
      <c r="AA4" s="286"/>
      <c r="AB4" s="275"/>
      <c r="AC4" s="279"/>
      <c r="AD4" s="281"/>
      <c r="AE4" s="277"/>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251">
        <v>46389</v>
      </c>
    </row>
    <row r="5" spans="1:262" ht="12" customHeight="1">
      <c r="A5" s="102"/>
      <c r="B5" s="102" t="s">
        <v>1385</v>
      </c>
      <c r="C5" s="102">
        <v>1</v>
      </c>
      <c r="D5" s="118" t="s">
        <v>474</v>
      </c>
      <c r="E5" s="103" t="s">
        <v>1598</v>
      </c>
      <c r="F5" s="103"/>
      <c r="G5" s="103"/>
      <c r="H5" s="103"/>
      <c r="I5" s="103"/>
      <c r="J5" s="103"/>
      <c r="K5" s="103"/>
      <c r="L5" s="103"/>
      <c r="M5" s="103"/>
      <c r="N5" s="103"/>
      <c r="O5" s="230"/>
      <c r="P5" s="104">
        <v>46161</v>
      </c>
      <c r="Q5" s="104">
        <v>46387</v>
      </c>
      <c r="R5" s="103"/>
      <c r="S5" s="105">
        <v>522</v>
      </c>
      <c r="T5" s="105">
        <v>291</v>
      </c>
      <c r="U5" s="105">
        <v>154</v>
      </c>
      <c r="V5" s="105">
        <v>37</v>
      </c>
      <c r="W5" s="104"/>
      <c r="X5" s="104"/>
      <c r="Y5" s="106">
        <v>0</v>
      </c>
      <c r="Z5" s="107">
        <v>0</v>
      </c>
      <c r="AA5" s="105"/>
      <c r="AB5" s="103"/>
      <c r="AC5" s="103"/>
      <c r="AD5" s="117">
        <v>0.55747126436781613</v>
      </c>
      <c r="AE5" s="217">
        <v>0.55746666666666678</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t="str">
        <f>"" &amp; TEXT(AE5,"#0.00%") &amp; " "</f>
        <v xml:space="preserve">55.75% </v>
      </c>
      <c r="FF5" s="121"/>
      <c r="FG5" s="121"/>
      <c r="FH5" s="121"/>
      <c r="FI5" s="121"/>
      <c r="FJ5" s="121"/>
      <c r="FK5" s="121"/>
      <c r="FL5" s="121"/>
      <c r="FM5" s="121"/>
      <c r="FN5" s="121"/>
      <c r="FO5" s="121"/>
      <c r="FP5" s="121"/>
      <c r="FQ5" s="121"/>
      <c r="FR5" s="121"/>
      <c r="FS5" s="121"/>
      <c r="FT5" s="121"/>
      <c r="FU5" s="121"/>
      <c r="FV5" s="121"/>
      <c r="FW5" s="121"/>
      <c r="FX5" s="121"/>
      <c r="FY5" s="121"/>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c r="JA5" s="121" t="str">
        <f>"" &amp; "분석/설계" &amp; " " &amp; IF(P5="","",TEXT(P5,"M/D-")) &amp; IF(Q5="","",TEXT(Q5,"M/D")) &amp; " "</f>
        <v xml:space="preserve">분석/설계 5/19-12/31 </v>
      </c>
      <c r="JB5" s="121"/>
    </row>
    <row r="6" spans="1:262" ht="12" customHeight="1" outlineLevel="1">
      <c r="A6" s="102"/>
      <c r="B6" s="102" t="s">
        <v>1385</v>
      </c>
      <c r="C6" s="102">
        <v>2</v>
      </c>
      <c r="D6" s="118" t="s">
        <v>499</v>
      </c>
      <c r="E6" s="103"/>
      <c r="F6" s="103" t="s">
        <v>1599</v>
      </c>
      <c r="G6" s="209"/>
      <c r="H6" s="209"/>
      <c r="I6" s="103"/>
      <c r="J6" s="103"/>
      <c r="K6" s="103"/>
      <c r="L6" s="103"/>
      <c r="M6" s="103"/>
      <c r="N6" s="103"/>
      <c r="O6" s="232"/>
      <c r="P6" s="104">
        <v>46161</v>
      </c>
      <c r="Q6" s="104">
        <v>46203</v>
      </c>
      <c r="R6" s="103"/>
      <c r="S6" s="105">
        <v>88</v>
      </c>
      <c r="T6" s="105">
        <v>88</v>
      </c>
      <c r="U6" s="105">
        <v>29</v>
      </c>
      <c r="V6" s="105">
        <v>29</v>
      </c>
      <c r="W6" s="104"/>
      <c r="X6" s="104"/>
      <c r="Y6" s="106">
        <v>0</v>
      </c>
      <c r="Z6" s="107">
        <v>0</v>
      </c>
      <c r="AA6" s="105"/>
      <c r="AB6" s="228" t="s">
        <v>1639</v>
      </c>
      <c r="AC6" s="103"/>
      <c r="AD6" s="117">
        <v>1</v>
      </c>
      <c r="AE6" s="206">
        <v>1</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t="str">
        <f>"" &amp; TEXT(AE6,"#0.00%") &amp; " " &amp; "요구사항 분석 정의 및 개발일정 산출" &amp; "(컨소 전체)" &amp; " " &amp; IF(P6="","",TEXT(P6,"M/D-")) &amp; IF(Q6="","",TEXT(Q6,"M/D")) &amp; " "</f>
        <v xml:space="preserve">100.00% 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23" outlineLevel="2">
      <c r="A7" s="102"/>
      <c r="B7" s="102"/>
      <c r="C7" s="102">
        <v>3</v>
      </c>
      <c r="D7" s="118" t="s">
        <v>1354</v>
      </c>
      <c r="E7" s="103"/>
      <c r="F7" s="103"/>
      <c r="G7" s="103" t="s">
        <v>1602</v>
      </c>
      <c r="H7" s="103"/>
      <c r="I7" s="103"/>
      <c r="J7" s="103"/>
      <c r="K7" s="103"/>
      <c r="L7" s="103"/>
      <c r="M7" s="103"/>
      <c r="N7" s="103"/>
      <c r="O7" s="233"/>
      <c r="P7" s="227">
        <v>46161</v>
      </c>
      <c r="Q7" s="227">
        <v>46203</v>
      </c>
      <c r="R7" s="103"/>
      <c r="S7" s="105">
        <v>29</v>
      </c>
      <c r="T7" s="105">
        <v>29</v>
      </c>
      <c r="U7" s="105">
        <v>29</v>
      </c>
      <c r="V7" s="105">
        <v>29</v>
      </c>
      <c r="W7" s="104">
        <v>46086</v>
      </c>
      <c r="X7" s="104">
        <v>46097</v>
      </c>
      <c r="Y7" s="106">
        <v>8</v>
      </c>
      <c r="Z7" s="107">
        <v>8</v>
      </c>
      <c r="AA7" s="105">
        <v>1</v>
      </c>
      <c r="AB7" s="234" t="s">
        <v>1639</v>
      </c>
      <c r="AC7" s="258" t="s">
        <v>1894</v>
      </c>
      <c r="AD7" s="117">
        <v>1</v>
      </c>
      <c r="AE7" s="199">
        <v>1</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t="str">
        <f>"" &amp; TEXT(AE7,"#0.00%") &amp; " " &amp; "요구사항 분석 및 정의" &amp; "(컨소 전체)" &amp; " " &amp; IF(P7="","",TEXT(P7,"M/D-")) &amp; IF(Q7="","",TEXT(Q7,"M/D")) &amp; " "</f>
        <v xml:space="preserve">100.00% 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6" outlineLevel="2">
      <c r="A8" s="102"/>
      <c r="B8" s="102"/>
      <c r="C8" s="102">
        <v>3</v>
      </c>
      <c r="D8" s="118" t="s">
        <v>1357</v>
      </c>
      <c r="E8" s="103"/>
      <c r="F8" s="103"/>
      <c r="G8" s="103" t="s">
        <v>1600</v>
      </c>
      <c r="H8" s="103"/>
      <c r="I8" s="103"/>
      <c r="J8" s="103"/>
      <c r="K8" s="103"/>
      <c r="L8" s="103"/>
      <c r="M8" s="103"/>
      <c r="N8" s="103"/>
      <c r="O8" s="233"/>
      <c r="P8" s="236">
        <v>46174</v>
      </c>
      <c r="Q8" s="227">
        <v>46199</v>
      </c>
      <c r="R8" s="103"/>
      <c r="S8" s="105">
        <v>19</v>
      </c>
      <c r="T8" s="105">
        <v>19</v>
      </c>
      <c r="U8" s="105">
        <v>19</v>
      </c>
      <c r="V8" s="105">
        <v>19</v>
      </c>
      <c r="W8" s="104"/>
      <c r="X8" s="104"/>
      <c r="Y8" s="106"/>
      <c r="Z8" s="107">
        <v>0</v>
      </c>
      <c r="AA8" s="105">
        <v>1</v>
      </c>
      <c r="AB8" s="319" t="s">
        <v>1630</v>
      </c>
      <c r="AC8" s="262" t="s">
        <v>1904</v>
      </c>
      <c r="AD8" s="117">
        <v>1</v>
      </c>
      <c r="AE8" s="199">
        <v>1</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t="str">
        <f>"" &amp; TEXT(AE8,"#0.00%") &amp; " " &amp; "측위 엔진 요구사항 정의" &amp; "(파모즈)" &amp; " " &amp; IF(P8="","",TEXT(P8,"M/D-")) &amp; IF(Q8="","",TEXT(Q8,"M/D")) &amp; " "</f>
        <v xml:space="preserve">100.00% 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6" outlineLevel="2">
      <c r="A9" s="102"/>
      <c r="B9" s="102"/>
      <c r="C9" s="102">
        <v>3</v>
      </c>
      <c r="D9" s="118" t="s">
        <v>1607</v>
      </c>
      <c r="E9" s="103"/>
      <c r="F9" s="103"/>
      <c r="G9" s="103" t="s">
        <v>1601</v>
      </c>
      <c r="H9" s="103"/>
      <c r="I9" s="103"/>
      <c r="J9" s="103"/>
      <c r="K9" s="103"/>
      <c r="L9" s="103"/>
      <c r="M9" s="103"/>
      <c r="N9" s="103"/>
      <c r="O9" s="233"/>
      <c r="P9" s="236">
        <v>46174</v>
      </c>
      <c r="Q9" s="227">
        <v>46199</v>
      </c>
      <c r="R9" s="103"/>
      <c r="S9" s="105">
        <v>19</v>
      </c>
      <c r="T9" s="105">
        <v>19</v>
      </c>
      <c r="U9" s="105">
        <v>19</v>
      </c>
      <c r="V9" s="105">
        <v>19</v>
      </c>
      <c r="W9" s="104"/>
      <c r="X9" s="104"/>
      <c r="Y9" s="106"/>
      <c r="Z9" s="107">
        <v>0</v>
      </c>
      <c r="AA9" s="105">
        <v>1</v>
      </c>
      <c r="AB9" s="319" t="s">
        <v>1630</v>
      </c>
      <c r="AC9" s="262" t="s">
        <v>1904</v>
      </c>
      <c r="AD9" s="117">
        <v>1</v>
      </c>
      <c r="AE9" s="199">
        <v>1</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t="str">
        <f>"" &amp; TEXT(AE9,"#0.00%") &amp; " " &amp; "통합 SDK 인터페이스 요구사항 정의" &amp; "(파모즈)" &amp; " " &amp; IF(P9="","",TEXT(P9,"M/D-")) &amp; IF(Q9="","",TEXT(Q9,"M/D")) &amp; " "</f>
        <v xml:space="preserve">100.00% 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6" outlineLevel="2">
      <c r="A10" s="102"/>
      <c r="B10" s="102"/>
      <c r="C10" s="102">
        <v>3</v>
      </c>
      <c r="D10" s="118" t="s">
        <v>1608</v>
      </c>
      <c r="E10" s="103"/>
      <c r="F10" s="103"/>
      <c r="G10" s="103" t="s">
        <v>1603</v>
      </c>
      <c r="H10" s="103"/>
      <c r="I10" s="103"/>
      <c r="J10" s="103"/>
      <c r="K10" s="103"/>
      <c r="L10" s="103"/>
      <c r="M10" s="103"/>
      <c r="N10" s="103"/>
      <c r="O10" s="233"/>
      <c r="P10" s="227">
        <v>46170</v>
      </c>
      <c r="Q10" s="227">
        <v>46199</v>
      </c>
      <c r="R10" s="103"/>
      <c r="S10" s="105">
        <v>21</v>
      </c>
      <c r="T10" s="105">
        <v>21</v>
      </c>
      <c r="U10" s="105">
        <v>21</v>
      </c>
      <c r="V10" s="105">
        <v>21</v>
      </c>
      <c r="W10" s="104"/>
      <c r="X10" s="104"/>
      <c r="Y10" s="106"/>
      <c r="Z10" s="107">
        <v>0</v>
      </c>
      <c r="AA10" s="105">
        <v>1</v>
      </c>
      <c r="AB10" s="234" t="s">
        <v>1639</v>
      </c>
      <c r="AC10" s="258" t="s">
        <v>288</v>
      </c>
      <c r="AD10" s="117">
        <v>1</v>
      </c>
      <c r="AE10" s="199">
        <v>1</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t="str">
        <f>"" &amp; TEXT(AE10,"#0.00%") &amp; " " &amp; "세부개발일정 산출" &amp; "(컨소 전체)" &amp; " " &amp; IF(P10="","",TEXT(P10,"M/D-")) &amp; IF(Q10="","",TEXT(Q10,"M/D")) &amp; " "</f>
        <v xml:space="preserve">100.00% 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ht="14.5" outlineLevel="1">
      <c r="A11" s="102"/>
      <c r="B11" s="102" t="s">
        <v>1385</v>
      </c>
      <c r="C11" s="102">
        <v>2</v>
      </c>
      <c r="D11" s="118" t="s">
        <v>1348</v>
      </c>
      <c r="E11" s="103"/>
      <c r="F11" s="103" t="s">
        <v>1882</v>
      </c>
      <c r="G11" s="103"/>
      <c r="H11" s="103"/>
      <c r="I11" s="103"/>
      <c r="J11" s="103"/>
      <c r="K11" s="103"/>
      <c r="L11" s="103"/>
      <c r="M11" s="103"/>
      <c r="N11" s="103"/>
      <c r="O11" s="232"/>
      <c r="P11" s="104">
        <v>46170</v>
      </c>
      <c r="Q11" s="104">
        <v>46387</v>
      </c>
      <c r="R11" s="103"/>
      <c r="S11" s="105">
        <v>0</v>
      </c>
      <c r="T11" s="105">
        <v>0</v>
      </c>
      <c r="U11" s="105">
        <v>148</v>
      </c>
      <c r="V11" s="105">
        <v>31</v>
      </c>
      <c r="W11" s="104"/>
      <c r="X11" s="104"/>
      <c r="Y11" s="106">
        <v>0</v>
      </c>
      <c r="Z11" s="107">
        <v>0</v>
      </c>
      <c r="AA11" s="105"/>
      <c r="AB11" s="248" t="s">
        <v>1639</v>
      </c>
      <c r="AC11" s="238"/>
      <c r="AD11" s="117">
        <v>0</v>
      </c>
      <c r="AE11" s="211">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t="str">
        <f>"" &amp; "단계별 보고" &amp; "(컨소 전체)" &amp; " " &amp; IF(P11="","",TEXT(P11,"M/D-")) &amp; IF(Q11="","",TEXT(Q11,"M/D")) &amp; " "</f>
        <v xml:space="preserve">단계별 보고(컨소 전체) 5/28-12/31 </v>
      </c>
      <c r="JB11" s="121"/>
    </row>
    <row r="12" spans="1:262" ht="16" outlineLevel="2">
      <c r="A12" s="102" t="s">
        <v>1445</v>
      </c>
      <c r="B12" s="102"/>
      <c r="C12" s="102">
        <v>3</v>
      </c>
      <c r="D12" s="118" t="s">
        <v>1355</v>
      </c>
      <c r="E12" s="103"/>
      <c r="F12" s="103"/>
      <c r="G12" s="103" t="s">
        <v>1881</v>
      </c>
      <c r="H12" s="103"/>
      <c r="I12" s="103"/>
      <c r="J12" s="103"/>
      <c r="K12" s="103"/>
      <c r="L12" s="103"/>
      <c r="M12" s="103"/>
      <c r="N12" s="103"/>
      <c r="O12" s="233"/>
      <c r="P12" s="227">
        <v>46170</v>
      </c>
      <c r="Q12" s="227">
        <v>46170</v>
      </c>
      <c r="R12" s="103"/>
      <c r="S12" s="105">
        <v>0</v>
      </c>
      <c r="T12" s="105">
        <v>0</v>
      </c>
      <c r="U12" s="105">
        <v>1</v>
      </c>
      <c r="V12" s="105">
        <v>1</v>
      </c>
      <c r="W12" s="104">
        <v>46100</v>
      </c>
      <c r="X12" s="104">
        <v>46100</v>
      </c>
      <c r="Y12" s="106">
        <v>1</v>
      </c>
      <c r="Z12" s="107">
        <v>1</v>
      </c>
      <c r="AA12" s="105">
        <v>1</v>
      </c>
      <c r="AB12" s="234" t="s">
        <v>1639</v>
      </c>
      <c r="AC12" s="258" t="s">
        <v>1908</v>
      </c>
      <c r="AD12" s="117">
        <v>1</v>
      </c>
      <c r="AE12" s="257">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6" outlineLevel="2">
      <c r="A13" s="102" t="s">
        <v>1445</v>
      </c>
      <c r="B13" s="102"/>
      <c r="C13" s="102">
        <v>3</v>
      </c>
      <c r="D13" s="118" t="s">
        <v>1356</v>
      </c>
      <c r="E13" s="103"/>
      <c r="F13" s="103"/>
      <c r="G13" s="103" t="s">
        <v>1446</v>
      </c>
      <c r="H13" s="103"/>
      <c r="I13" s="103"/>
      <c r="J13" s="103"/>
      <c r="K13" s="103"/>
      <c r="L13" s="103"/>
      <c r="M13" s="103"/>
      <c r="N13" s="103"/>
      <c r="O13" s="233"/>
      <c r="P13" s="227">
        <v>46265</v>
      </c>
      <c r="Q13" s="227">
        <v>46265</v>
      </c>
      <c r="R13" s="103"/>
      <c r="S13" s="105">
        <v>0</v>
      </c>
      <c r="T13" s="105">
        <v>0</v>
      </c>
      <c r="U13" s="105">
        <v>1</v>
      </c>
      <c r="V13" s="105">
        <v>0</v>
      </c>
      <c r="W13" s="104">
        <v>46100</v>
      </c>
      <c r="X13" s="104">
        <v>46100</v>
      </c>
      <c r="Y13" s="106">
        <v>1</v>
      </c>
      <c r="Z13" s="107">
        <v>1</v>
      </c>
      <c r="AA13" s="105">
        <v>1</v>
      </c>
      <c r="AB13" s="234" t="s">
        <v>1639</v>
      </c>
      <c r="AC13" s="235" t="s">
        <v>1906</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6" outlineLevel="2">
      <c r="A14" s="102" t="s">
        <v>1445</v>
      </c>
      <c r="B14" s="102"/>
      <c r="C14" s="102">
        <v>3</v>
      </c>
      <c r="D14" s="118" t="s">
        <v>1358</v>
      </c>
      <c r="E14" s="103"/>
      <c r="F14" s="103"/>
      <c r="G14" s="103" t="s">
        <v>1883</v>
      </c>
      <c r="H14" s="103"/>
      <c r="I14" s="103"/>
      <c r="J14" s="103"/>
      <c r="K14" s="103"/>
      <c r="L14" s="103"/>
      <c r="M14" s="103"/>
      <c r="N14" s="103"/>
      <c r="O14" s="233"/>
      <c r="P14" s="227">
        <v>46387</v>
      </c>
      <c r="Q14" s="227">
        <v>46387</v>
      </c>
      <c r="R14" s="103"/>
      <c r="S14" s="105">
        <v>0</v>
      </c>
      <c r="T14" s="105">
        <v>0</v>
      </c>
      <c r="U14" s="105">
        <v>1</v>
      </c>
      <c r="V14" s="105">
        <v>0</v>
      </c>
      <c r="W14" s="104">
        <v>46100</v>
      </c>
      <c r="X14" s="104">
        <v>46100</v>
      </c>
      <c r="Y14" s="106">
        <v>1</v>
      </c>
      <c r="Z14" s="107">
        <v>1</v>
      </c>
      <c r="AA14" s="105">
        <v>1</v>
      </c>
      <c r="AB14" s="234" t="s">
        <v>1639</v>
      </c>
      <c r="AC14" s="235" t="s">
        <v>1907</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c r="IZ14" s="121" t="str">
        <f>"    " &amp; TEXT(AE14,"#0.00%") &amp; " " &amp; "결과보고" &amp; "(컨소 전체)" &amp; " " &amp; IF(P14="","",TEXT(P14,"M/D-")) &amp; IF(Q14="","",TEXT(Q14,"M/D")) &amp; " "</f>
        <v xml:space="preserve">    0.00% 결과보고(컨소 전체) 12/31-12/31 </v>
      </c>
      <c r="JA14" s="121"/>
      <c r="JB14" s="121"/>
    </row>
    <row r="15" spans="1:262" ht="14.5" outlineLevel="1">
      <c r="A15" s="102"/>
      <c r="B15" s="102" t="s">
        <v>1385</v>
      </c>
      <c r="C15" s="102">
        <v>2</v>
      </c>
      <c r="D15" s="118" t="s">
        <v>1464</v>
      </c>
      <c r="E15" s="103"/>
      <c r="F15" s="103" t="s">
        <v>1609</v>
      </c>
      <c r="G15" s="103"/>
      <c r="H15" s="103"/>
      <c r="I15" s="103"/>
      <c r="J15" s="103"/>
      <c r="K15" s="103"/>
      <c r="L15" s="103"/>
      <c r="M15" s="103"/>
      <c r="N15" s="103"/>
      <c r="O15" s="232"/>
      <c r="P15" s="104">
        <v>46174</v>
      </c>
      <c r="Q15" s="104">
        <v>46234</v>
      </c>
      <c r="R15" s="103"/>
      <c r="S15" s="105">
        <v>146</v>
      </c>
      <c r="T15" s="105">
        <v>96</v>
      </c>
      <c r="U15" s="105">
        <v>43</v>
      </c>
      <c r="V15" s="105">
        <v>29</v>
      </c>
      <c r="W15" s="104"/>
      <c r="X15" s="104"/>
      <c r="Y15" s="106">
        <v>0</v>
      </c>
      <c r="Z15" s="107">
        <v>0</v>
      </c>
      <c r="AA15" s="105"/>
      <c r="AB15" s="248" t="s">
        <v>1639</v>
      </c>
      <c r="AC15" s="238"/>
      <c r="AD15" s="117">
        <v>0.65753424657534243</v>
      </c>
      <c r="AE15" s="264">
        <v>0.6575335616438357</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t="str">
        <f>"" &amp; TEXT(AE15,"#0.00%") &amp; " "</f>
        <v xml:space="preserve">65.75% </v>
      </c>
      <c r="CJ15" s="121"/>
      <c r="CK15" s="121"/>
      <c r="CL15" s="121"/>
      <c r="CM15" s="121"/>
      <c r="CN15" s="121"/>
      <c r="CO15" s="121"/>
      <c r="CP15" s="121"/>
      <c r="CQ15" s="121"/>
      <c r="CR15" s="121"/>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6" outlineLevel="2">
      <c r="A16" s="102"/>
      <c r="B16" s="102"/>
      <c r="C16" s="102">
        <v>3</v>
      </c>
      <c r="D16" s="118" t="s">
        <v>1447</v>
      </c>
      <c r="E16" s="103"/>
      <c r="F16" s="103"/>
      <c r="G16" s="209" t="s">
        <v>1614</v>
      </c>
      <c r="H16" s="209"/>
      <c r="I16" s="209"/>
      <c r="J16" s="103"/>
      <c r="K16" s="103"/>
      <c r="L16" s="103"/>
      <c r="M16" s="103"/>
      <c r="N16" s="103"/>
      <c r="O16" s="233"/>
      <c r="P16" s="227">
        <v>46174</v>
      </c>
      <c r="Q16" s="227">
        <v>46219</v>
      </c>
      <c r="R16" s="103"/>
      <c r="S16" s="105">
        <v>33</v>
      </c>
      <c r="T16" s="105">
        <v>29</v>
      </c>
      <c r="U16" s="105">
        <v>33</v>
      </c>
      <c r="V16" s="105">
        <v>29</v>
      </c>
      <c r="W16" s="104">
        <v>46114</v>
      </c>
      <c r="X16" s="104">
        <v>46114</v>
      </c>
      <c r="Y16" s="106">
        <v>1</v>
      </c>
      <c r="Z16" s="107">
        <v>1</v>
      </c>
      <c r="AA16" s="105">
        <v>1</v>
      </c>
      <c r="AB16" s="234" t="s">
        <v>1639</v>
      </c>
      <c r="AC16" s="235" t="s">
        <v>1640</v>
      </c>
      <c r="AD16" s="117">
        <v>0.87878787878787878</v>
      </c>
      <c r="AE16" s="253">
        <v>0.87880000000000003</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t="str">
        <f>"" &amp; TEXT(AE16,"#0.00%") &amp; " " &amp; "시스템 구성 설계" &amp; "(컨소 전체)" &amp; " " &amp; IF(P16="","",TEXT(P16,"M/D-")) &amp; IF(Q16="","",TEXT(Q16,"M/D")) &amp; " "</f>
        <v xml:space="preserve">87.88% 시스템 구성 설계(컨소 전체) 6/1-7/16 </v>
      </c>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3" outlineLevel="2">
      <c r="A17" s="102"/>
      <c r="B17" s="102"/>
      <c r="C17" s="102">
        <v>3</v>
      </c>
      <c r="D17" s="118" t="s">
        <v>1448</v>
      </c>
      <c r="E17" s="324"/>
      <c r="F17" s="324"/>
      <c r="G17" s="327" t="s">
        <v>1610</v>
      </c>
      <c r="H17" s="328"/>
      <c r="I17" s="328"/>
      <c r="J17" s="324"/>
      <c r="K17" s="324"/>
      <c r="L17" s="324"/>
      <c r="M17" s="324"/>
      <c r="N17" s="324"/>
      <c r="O17" s="329" t="s">
        <v>1819</v>
      </c>
      <c r="P17" s="236">
        <v>46184</v>
      </c>
      <c r="Q17" s="236">
        <v>46218</v>
      </c>
      <c r="R17" s="103"/>
      <c r="S17" s="105">
        <v>25</v>
      </c>
      <c r="T17" s="105">
        <v>22</v>
      </c>
      <c r="U17" s="105">
        <v>25</v>
      </c>
      <c r="V17" s="105">
        <v>22</v>
      </c>
      <c r="W17" s="104"/>
      <c r="X17" s="104"/>
      <c r="Y17" s="106"/>
      <c r="Z17" s="107">
        <v>0</v>
      </c>
      <c r="AA17" s="105">
        <v>1</v>
      </c>
      <c r="AB17" s="319" t="s">
        <v>1630</v>
      </c>
      <c r="AC17" s="237" t="s">
        <v>1631</v>
      </c>
      <c r="AD17" s="117">
        <v>0.88</v>
      </c>
      <c r="AE17" s="199">
        <v>0.88</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t="str">
        <f>"" &amp; TEXT(AE17,"#0.00%") &amp; " " &amp; "측위엔진 구조 설계 " &amp; "(파모즈)" &amp; " " &amp; IF(P17="","",TEXT(P17,"M/D-")) &amp; IF(Q17="","",TEXT(Q17,"M/D")) &amp; " "</f>
        <v xml:space="preserve">88.00% 측위엔진 구조 설계 (파모즈) 6/11-7/15 </v>
      </c>
      <c r="CK17" s="121"/>
      <c r="CL17" s="121"/>
      <c r="CM17" s="121"/>
      <c r="CN17" s="121"/>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7" outlineLevel="2">
      <c r="A18" s="102"/>
      <c r="B18" s="102"/>
      <c r="C18" s="102">
        <v>3</v>
      </c>
      <c r="D18" s="118" t="s">
        <v>1449</v>
      </c>
      <c r="E18" s="324"/>
      <c r="F18" s="324"/>
      <c r="G18" s="327" t="s">
        <v>1611</v>
      </c>
      <c r="H18" s="328"/>
      <c r="I18" s="328"/>
      <c r="J18" s="324"/>
      <c r="K18" s="324"/>
      <c r="L18" s="324"/>
      <c r="M18" s="324"/>
      <c r="N18" s="324"/>
      <c r="O18" s="329"/>
      <c r="P18" s="236">
        <v>46195</v>
      </c>
      <c r="Q18" s="236">
        <v>46219</v>
      </c>
      <c r="R18" s="103"/>
      <c r="S18" s="105">
        <v>19</v>
      </c>
      <c r="T18" s="105">
        <v>15</v>
      </c>
      <c r="U18" s="105">
        <v>19</v>
      </c>
      <c r="V18" s="105">
        <v>15</v>
      </c>
      <c r="W18" s="104"/>
      <c r="X18" s="104"/>
      <c r="Y18" s="106"/>
      <c r="Z18" s="107">
        <v>0</v>
      </c>
      <c r="AA18" s="105">
        <v>1</v>
      </c>
      <c r="AB18" s="319" t="s">
        <v>1630</v>
      </c>
      <c r="AC18" s="237" t="s">
        <v>1632</v>
      </c>
      <c r="AD18" s="117">
        <v>0.78947368421052633</v>
      </c>
      <c r="AE18" s="253">
        <v>0.78949999999999998</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t="str">
        <f>"" &amp; TEXT(AE18,"#0.00%") &amp; " " &amp; "SDK 구성·연동 설계" &amp; "(파모즈)" &amp; " " &amp; IF(P18="","",TEXT(P18,"M/D-")) &amp; IF(Q18="","",TEXT(Q18,"M/D")) &amp; " "</f>
        <v xml:space="preserve">78.95% SDK 구성·연동 설계(파모즈) 6/22-7/16 </v>
      </c>
      <c r="CK18" s="121"/>
      <c r="CL18" s="121"/>
      <c r="CM18" s="121"/>
      <c r="CN18" s="121"/>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7" outlineLevel="2">
      <c r="A19" s="102"/>
      <c r="B19" s="102"/>
      <c r="C19" s="102">
        <v>3</v>
      </c>
      <c r="D19" s="118" t="s">
        <v>1451</v>
      </c>
      <c r="E19" s="324"/>
      <c r="F19" s="324"/>
      <c r="G19" s="327" t="s">
        <v>1895</v>
      </c>
      <c r="H19" s="328"/>
      <c r="I19" s="328"/>
      <c r="J19" s="324"/>
      <c r="K19" s="324"/>
      <c r="L19" s="324"/>
      <c r="M19" s="324"/>
      <c r="N19" s="324"/>
      <c r="O19" s="329"/>
      <c r="P19" s="236">
        <v>46204</v>
      </c>
      <c r="Q19" s="236">
        <v>46224</v>
      </c>
      <c r="R19" s="103"/>
      <c r="S19" s="105">
        <v>14</v>
      </c>
      <c r="T19" s="105">
        <v>8</v>
      </c>
      <c r="U19" s="105">
        <v>14</v>
      </c>
      <c r="V19" s="105">
        <v>8</v>
      </c>
      <c r="W19" s="104"/>
      <c r="X19" s="104"/>
      <c r="Y19" s="106"/>
      <c r="Z19" s="107">
        <v>0</v>
      </c>
      <c r="AA19" s="105">
        <v>1</v>
      </c>
      <c r="AB19" s="319" t="s">
        <v>1630</v>
      </c>
      <c r="AC19" s="237" t="s">
        <v>1896</v>
      </c>
      <c r="AD19" s="117">
        <v>0.5714285714285714</v>
      </c>
      <c r="AE19" s="226">
        <v>0.57140000000000002</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t="str">
        <f>"" &amp; TEXT(AE19,"#0.00%") &amp; " "</f>
        <v xml:space="preserve">57.14% </v>
      </c>
      <c r="CL19" s="121"/>
      <c r="CM19" s="121"/>
      <c r="CN19" s="121"/>
      <c r="CO19" s="121"/>
      <c r="CP19" s="121"/>
      <c r="CQ19" s="121"/>
      <c r="CR19" s="121"/>
      <c r="CS19" s="121"/>
      <c r="CT19" s="121" t="str">
        <f>"" &amp; "데이터 흐름·인터페이스 정의" &amp; "(파모즈)" &amp; " " &amp; IF(P19="","",TEXT(P19,"M/D-")) &amp; IF(Q19="","",TEXT(Q19,"M/D")) &amp; " "</f>
        <v xml:space="preserve">데이터 흐름·인터페이스 정의(파모즈) 7/1-7/21 </v>
      </c>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7" outlineLevel="2">
      <c r="A20" s="102"/>
      <c r="B20" s="102"/>
      <c r="C20" s="102">
        <v>3</v>
      </c>
      <c r="D20" s="118" t="s">
        <v>1884</v>
      </c>
      <c r="E20" s="324"/>
      <c r="F20" s="324"/>
      <c r="G20" s="327" t="s">
        <v>1612</v>
      </c>
      <c r="H20" s="328"/>
      <c r="I20" s="328"/>
      <c r="J20" s="324"/>
      <c r="K20" s="324"/>
      <c r="L20" s="324"/>
      <c r="M20" s="324"/>
      <c r="N20" s="324"/>
      <c r="O20" s="329"/>
      <c r="P20" s="236">
        <v>46206</v>
      </c>
      <c r="Q20" s="236">
        <v>46230</v>
      </c>
      <c r="R20" s="103"/>
      <c r="S20" s="105">
        <v>16</v>
      </c>
      <c r="T20" s="105">
        <v>6</v>
      </c>
      <c r="U20" s="105">
        <v>16</v>
      </c>
      <c r="V20" s="105">
        <v>6</v>
      </c>
      <c r="W20" s="104"/>
      <c r="X20" s="104"/>
      <c r="Y20" s="106"/>
      <c r="Z20" s="107">
        <v>0</v>
      </c>
      <c r="AA20" s="105">
        <v>1</v>
      </c>
      <c r="AB20" s="319" t="s">
        <v>1630</v>
      </c>
      <c r="AC20" s="237" t="s">
        <v>1633</v>
      </c>
      <c r="AD20" s="117">
        <v>0.375</v>
      </c>
      <c r="AE20" s="199">
        <v>0.375</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t="str">
        <f>"" &amp; TEXT(AE20,"#0.00%") &amp; " "</f>
        <v xml:space="preserve">37.50% </v>
      </c>
      <c r="CK20" s="121"/>
      <c r="CL20" s="121"/>
      <c r="CM20" s="121"/>
      <c r="CN20" s="121"/>
      <c r="CO20" s="121"/>
      <c r="CP20" s="121"/>
      <c r="CQ20" s="121"/>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7" outlineLevel="2">
      <c r="A21" s="102"/>
      <c r="B21" s="102"/>
      <c r="C21" s="102">
        <v>3</v>
      </c>
      <c r="D21" s="118" t="s">
        <v>1885</v>
      </c>
      <c r="E21" s="324"/>
      <c r="F21" s="324"/>
      <c r="G21" s="327" t="s">
        <v>1613</v>
      </c>
      <c r="H21" s="328"/>
      <c r="I21" s="328"/>
      <c r="J21" s="324"/>
      <c r="K21" s="324"/>
      <c r="L21" s="324"/>
      <c r="M21" s="324"/>
      <c r="N21" s="324"/>
      <c r="O21" s="329"/>
      <c r="P21" s="236">
        <v>46204</v>
      </c>
      <c r="Q21" s="236">
        <v>46227</v>
      </c>
      <c r="R21" s="103"/>
      <c r="S21" s="105">
        <v>17</v>
      </c>
      <c r="T21" s="105">
        <v>8</v>
      </c>
      <c r="U21" s="105">
        <v>17</v>
      </c>
      <c r="V21" s="105">
        <v>8</v>
      </c>
      <c r="W21" s="104"/>
      <c r="X21" s="104"/>
      <c r="Y21" s="106"/>
      <c r="Z21" s="107">
        <v>0</v>
      </c>
      <c r="AA21" s="105">
        <v>1</v>
      </c>
      <c r="AB21" s="319" t="s">
        <v>1630</v>
      </c>
      <c r="AC21" s="237" t="s">
        <v>1634</v>
      </c>
      <c r="AD21" s="117">
        <v>0.47058823529411764</v>
      </c>
      <c r="AE21" s="253">
        <v>0.47060000000000002</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t="str">
        <f>"" &amp; TEXT(AE21,"#0.00%") &amp; " "</f>
        <v xml:space="preserve">47.06% </v>
      </c>
      <c r="CK21" s="121"/>
      <c r="CL21" s="121"/>
      <c r="CM21" s="121"/>
      <c r="CN21" s="121"/>
      <c r="CO21" s="121"/>
      <c r="CP21" s="121"/>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6" outlineLevel="2">
      <c r="A22" s="102"/>
      <c r="B22" s="102"/>
      <c r="C22" s="102">
        <v>3</v>
      </c>
      <c r="D22" s="118" t="s">
        <v>1886</v>
      </c>
      <c r="E22" s="103"/>
      <c r="F22" s="103"/>
      <c r="G22" s="209" t="s">
        <v>1615</v>
      </c>
      <c r="H22" s="209"/>
      <c r="I22" s="209"/>
      <c r="J22" s="103"/>
      <c r="K22" s="103"/>
      <c r="L22" s="103"/>
      <c r="M22" s="103"/>
      <c r="N22" s="103"/>
      <c r="O22" s="233"/>
      <c r="P22" s="227">
        <v>46204</v>
      </c>
      <c r="Q22" s="227">
        <v>46234</v>
      </c>
      <c r="R22" s="103"/>
      <c r="S22" s="105">
        <v>22</v>
      </c>
      <c r="T22" s="105">
        <v>8</v>
      </c>
      <c r="U22" s="105">
        <v>22</v>
      </c>
      <c r="V22" s="105">
        <v>8</v>
      </c>
      <c r="W22" s="104"/>
      <c r="X22" s="104"/>
      <c r="Y22" s="106"/>
      <c r="Z22" s="107">
        <v>0</v>
      </c>
      <c r="AA22" s="105">
        <v>1</v>
      </c>
      <c r="AB22" s="234" t="s">
        <v>1639</v>
      </c>
      <c r="AC22" s="235"/>
      <c r="AD22" s="117">
        <v>0.36363636363636365</v>
      </c>
      <c r="AE22" s="226">
        <v>0.36359999999999998</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t="str">
        <f>"" &amp; TEXT(AE22,"#0.00%") &amp; " "</f>
        <v xml:space="preserve">36.36% </v>
      </c>
      <c r="CK22" s="121"/>
      <c r="CL22" s="121"/>
      <c r="CM22" s="121"/>
      <c r="CN22" s="121"/>
      <c r="CO22" s="121"/>
      <c r="CP22" s="121"/>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ht="14.5" outlineLevel="1">
      <c r="A23" s="102"/>
      <c r="B23" s="102" t="s">
        <v>1385</v>
      </c>
      <c r="C23" s="102">
        <v>2</v>
      </c>
      <c r="D23" s="118" t="s">
        <v>1627</v>
      </c>
      <c r="E23" s="103"/>
      <c r="F23" s="103" t="s">
        <v>1616</v>
      </c>
      <c r="G23" s="103"/>
      <c r="H23" s="103"/>
      <c r="I23" s="103"/>
      <c r="J23" s="103"/>
      <c r="K23" s="103"/>
      <c r="L23" s="103"/>
      <c r="M23" s="103"/>
      <c r="N23" s="103"/>
      <c r="O23" s="232"/>
      <c r="P23" s="104">
        <v>46188</v>
      </c>
      <c r="Q23" s="104">
        <v>46286</v>
      </c>
      <c r="R23" s="103"/>
      <c r="S23" s="105">
        <v>89</v>
      </c>
      <c r="T23" s="105">
        <v>26</v>
      </c>
      <c r="U23" s="105">
        <v>69</v>
      </c>
      <c r="V23" s="105">
        <v>20</v>
      </c>
      <c r="W23" s="104"/>
      <c r="X23" s="104"/>
      <c r="Y23" s="106">
        <v>0</v>
      </c>
      <c r="Z23" s="107">
        <v>0</v>
      </c>
      <c r="AA23" s="105"/>
      <c r="AB23" s="248" t="s">
        <v>1630</v>
      </c>
      <c r="AC23" s="238"/>
      <c r="AD23" s="117">
        <v>0.29213483146067415</v>
      </c>
      <c r="AE23" s="217">
        <v>0.2921269662921348</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t="str">
        <f>"" &amp; TEXT(AE23,"#0.00%") &amp; " "</f>
        <v xml:space="preserve">29.21% </v>
      </c>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6" outlineLevel="2">
      <c r="A24" s="102"/>
      <c r="B24" s="102"/>
      <c r="C24" s="102">
        <v>3</v>
      </c>
      <c r="D24" s="118" t="s">
        <v>1628</v>
      </c>
      <c r="E24" s="324"/>
      <c r="F24" s="324"/>
      <c r="G24" s="325" t="s">
        <v>1626</v>
      </c>
      <c r="H24" s="325"/>
      <c r="I24" s="325"/>
      <c r="J24" s="324"/>
      <c r="K24" s="324"/>
      <c r="L24" s="324"/>
      <c r="M24" s="324"/>
      <c r="N24" s="324"/>
      <c r="O24" s="326"/>
      <c r="P24" s="227">
        <v>46188</v>
      </c>
      <c r="Q24" s="227">
        <v>46234</v>
      </c>
      <c r="R24" s="103"/>
      <c r="S24" s="105">
        <v>34</v>
      </c>
      <c r="T24" s="105">
        <v>20</v>
      </c>
      <c r="U24" s="105">
        <v>34</v>
      </c>
      <c r="V24" s="105">
        <v>20</v>
      </c>
      <c r="W24" s="104"/>
      <c r="X24" s="104"/>
      <c r="Y24" s="106"/>
      <c r="Z24" s="107">
        <v>0</v>
      </c>
      <c r="AA24" s="105">
        <v>1</v>
      </c>
      <c r="AB24" s="320" t="s">
        <v>1630</v>
      </c>
      <c r="AC24" s="235" t="s">
        <v>1641</v>
      </c>
      <c r="AD24" s="117">
        <v>0.58823529411764708</v>
      </c>
      <c r="AE24" s="226">
        <v>0.58819999999999995</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t="str">
        <f>"" &amp; TEXT(AE24,"#0.00%") &amp; " "</f>
        <v xml:space="preserve">58.82% </v>
      </c>
      <c r="CL24" s="121"/>
      <c r="CM24" s="121"/>
      <c r="CN24" s="121"/>
      <c r="CO24" s="121"/>
      <c r="CP24" s="121"/>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4.5" outlineLevel="2">
      <c r="A25" s="102"/>
      <c r="B25" s="102"/>
      <c r="C25" s="102">
        <v>3</v>
      </c>
      <c r="D25" s="118" t="s">
        <v>1629</v>
      </c>
      <c r="E25" s="324"/>
      <c r="F25" s="324"/>
      <c r="G25" s="327" t="s">
        <v>1617</v>
      </c>
      <c r="H25" s="328"/>
      <c r="I25" s="328"/>
      <c r="J25" s="324"/>
      <c r="K25" s="324"/>
      <c r="L25" s="324"/>
      <c r="M25" s="324"/>
      <c r="N25" s="324"/>
      <c r="O25" s="326"/>
      <c r="P25" s="236">
        <v>46206</v>
      </c>
      <c r="Q25" s="236">
        <v>46286</v>
      </c>
      <c r="R25" s="103"/>
      <c r="S25" s="105">
        <v>55</v>
      </c>
      <c r="T25" s="105">
        <v>6</v>
      </c>
      <c r="U25" s="105">
        <v>55</v>
      </c>
      <c r="V25" s="105">
        <v>6</v>
      </c>
      <c r="W25" s="104"/>
      <c r="X25" s="104"/>
      <c r="Y25" s="106"/>
      <c r="Z25" s="107">
        <v>0</v>
      </c>
      <c r="AA25" s="105">
        <v>1</v>
      </c>
      <c r="AB25" s="319" t="s">
        <v>1630</v>
      </c>
      <c r="AC25" s="237" t="s">
        <v>1635</v>
      </c>
      <c r="AD25" s="117">
        <v>0.10909090909090909</v>
      </c>
      <c r="AE25" s="253">
        <v>0.1091</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t="str">
        <f>"" &amp; TEXT(AE25,"#0.00%") &amp; " "</f>
        <v xml:space="preserve">10.91% </v>
      </c>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ht="14.5" outlineLevel="1">
      <c r="A26" s="102"/>
      <c r="B26" s="102" t="s">
        <v>1385</v>
      </c>
      <c r="C26" s="102">
        <v>2</v>
      </c>
      <c r="D26" s="118" t="s">
        <v>1648</v>
      </c>
      <c r="E26" s="103"/>
      <c r="F26" s="103" t="s">
        <v>1618</v>
      </c>
      <c r="G26" s="103"/>
      <c r="H26" s="103"/>
      <c r="I26" s="103"/>
      <c r="J26" s="103"/>
      <c r="K26" s="103"/>
      <c r="L26" s="103"/>
      <c r="M26" s="103"/>
      <c r="N26" s="103"/>
      <c r="O26" s="232"/>
      <c r="P26" s="104">
        <v>46174</v>
      </c>
      <c r="Q26" s="104">
        <v>46234</v>
      </c>
      <c r="R26" s="103"/>
      <c r="S26" s="105">
        <v>57</v>
      </c>
      <c r="T26" s="105">
        <v>49</v>
      </c>
      <c r="U26" s="105">
        <v>43</v>
      </c>
      <c r="V26" s="105">
        <v>29</v>
      </c>
      <c r="W26" s="104"/>
      <c r="X26" s="104"/>
      <c r="Y26" s="106">
        <v>0</v>
      </c>
      <c r="Z26" s="107">
        <v>0</v>
      </c>
      <c r="AA26" s="105"/>
      <c r="AB26" s="248" t="s">
        <v>1902</v>
      </c>
      <c r="AC26" s="238"/>
      <c r="AD26" s="117">
        <v>0.85964912280701755</v>
      </c>
      <c r="AE26" s="217">
        <v>0.85964210526315787</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t="str">
        <f>"" &amp; TEXT(AE26,"#0.00%") &amp; " "</f>
        <v xml:space="preserve">85.96% </v>
      </c>
      <c r="CV26" s="121"/>
      <c r="CW26" s="121"/>
      <c r="CX26" s="121"/>
      <c r="CY26" s="121"/>
      <c r="CZ26" s="121"/>
      <c r="DA26" s="121"/>
      <c r="DB26" s="121"/>
      <c r="DC26" s="121"/>
      <c r="DD26" s="121" t="str">
        <f>"" &amp; "RAG·온톨로지 시스템 설계" &amp; "(전남대)" &amp; " " &amp; IF(P26="","",TEXT(P26,"M/D-")) &amp; IF(Q26="","",TEXT(Q26,"M/D")) &amp; " "</f>
        <v xml:space="preserve">RAG·온톨로지 시스템 설계(전남대) 6/1-7/31 </v>
      </c>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6" outlineLevel="2">
      <c r="A27" s="102"/>
      <c r="B27" s="102"/>
      <c r="C27" s="102">
        <v>3</v>
      </c>
      <c r="D27" s="118" t="s">
        <v>1649</v>
      </c>
      <c r="E27" s="103"/>
      <c r="F27" s="103"/>
      <c r="G27" s="209" t="s">
        <v>1619</v>
      </c>
      <c r="H27" s="209"/>
      <c r="I27" s="209"/>
      <c r="J27" s="103"/>
      <c r="K27" s="103"/>
      <c r="L27" s="103"/>
      <c r="M27" s="103"/>
      <c r="N27" s="103"/>
      <c r="O27" s="233"/>
      <c r="P27" s="227">
        <v>46174</v>
      </c>
      <c r="Q27" s="227">
        <v>46220</v>
      </c>
      <c r="R27" s="103"/>
      <c r="S27" s="105">
        <v>33</v>
      </c>
      <c r="T27" s="105">
        <v>29</v>
      </c>
      <c r="U27" s="105">
        <v>33</v>
      </c>
      <c r="V27" s="105">
        <v>29</v>
      </c>
      <c r="W27" s="104"/>
      <c r="X27" s="104"/>
      <c r="Y27" s="106"/>
      <c r="Z27" s="107">
        <v>0</v>
      </c>
      <c r="AA27" s="105">
        <v>1</v>
      </c>
      <c r="AB27" s="234" t="s">
        <v>1902</v>
      </c>
      <c r="AC27" s="235" t="s">
        <v>1636</v>
      </c>
      <c r="AD27" s="117">
        <v>0.87878787878787878</v>
      </c>
      <c r="AE27" s="253">
        <v>0.87880000000000003</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t="str">
        <f>"" &amp; TEXT(AE27,"#0.00%") &amp; " " &amp; "RAG 시스템 설계" &amp; "(전남대)" &amp; " " &amp; IF(P27="","",TEXT(P27,"M/D-")) &amp; IF(Q27="","",TEXT(Q27,"M/D")) &amp; " "</f>
        <v xml:space="preserve">87.88% RAG 시스템 설계(전남대) 6/1-7/17 </v>
      </c>
      <c r="CK27" s="121"/>
      <c r="CL27" s="121"/>
      <c r="CM27" s="121"/>
      <c r="CN27" s="121"/>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6" outlineLevel="2">
      <c r="A28" s="102"/>
      <c r="B28" s="102"/>
      <c r="C28" s="102">
        <v>3</v>
      </c>
      <c r="D28" s="118" t="s">
        <v>1650</v>
      </c>
      <c r="E28" s="103"/>
      <c r="F28" s="103"/>
      <c r="G28" s="209" t="s">
        <v>1620</v>
      </c>
      <c r="H28" s="209"/>
      <c r="I28" s="209"/>
      <c r="J28" s="103"/>
      <c r="K28" s="103"/>
      <c r="L28" s="103"/>
      <c r="M28" s="103"/>
      <c r="N28" s="103"/>
      <c r="O28" s="233"/>
      <c r="P28" s="227">
        <v>46188</v>
      </c>
      <c r="Q28" s="227">
        <v>46220</v>
      </c>
      <c r="R28" s="103"/>
      <c r="S28" s="105">
        <v>24</v>
      </c>
      <c r="T28" s="105">
        <v>20</v>
      </c>
      <c r="U28" s="105">
        <v>24</v>
      </c>
      <c r="V28" s="105">
        <v>20</v>
      </c>
      <c r="W28" s="104"/>
      <c r="X28" s="104"/>
      <c r="Y28" s="106"/>
      <c r="Z28" s="107">
        <v>0</v>
      </c>
      <c r="AA28" s="105">
        <v>1</v>
      </c>
      <c r="AB28" s="234" t="s">
        <v>1902</v>
      </c>
      <c r="AC28" s="244" t="s">
        <v>1637</v>
      </c>
      <c r="AD28" s="117">
        <v>0.83333333333333337</v>
      </c>
      <c r="AE28" s="226">
        <v>0.83330000000000004</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t="str">
        <f>"" &amp; TEXT(AE28,"#0.00%") &amp; " " &amp; "온톨로지 시스템 설계" &amp; "(전남대)" &amp; " " &amp; IF(P28="","",TEXT(P28,"M/D-")) &amp; IF(Q28="","",TEXT(Q28,"M/D")) &amp; " "</f>
        <v xml:space="preserve">83.33% 온톨로지 시스템 설계(전남대) 6/15-7/17 </v>
      </c>
      <c r="CK28" s="121"/>
      <c r="CL28" s="121"/>
      <c r="CM28" s="121"/>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3" outlineLevel="2">
      <c r="A29" s="102" t="s">
        <v>1450</v>
      </c>
      <c r="B29" s="102"/>
      <c r="C29" s="102">
        <v>3</v>
      </c>
      <c r="D29" s="118" t="s">
        <v>1887</v>
      </c>
      <c r="E29" s="103"/>
      <c r="F29" s="103"/>
      <c r="G29" s="209" t="s">
        <v>1621</v>
      </c>
      <c r="H29" s="209"/>
      <c r="I29" s="209"/>
      <c r="J29" s="103"/>
      <c r="K29" s="103"/>
      <c r="L29" s="103"/>
      <c r="M29" s="103"/>
      <c r="N29" s="103"/>
      <c r="O29" s="233"/>
      <c r="P29" s="227">
        <v>46209</v>
      </c>
      <c r="Q29" s="227">
        <v>46234</v>
      </c>
      <c r="R29" s="103"/>
      <c r="S29" s="105">
        <v>0</v>
      </c>
      <c r="T29" s="105">
        <v>0</v>
      </c>
      <c r="U29" s="105">
        <v>19</v>
      </c>
      <c r="V29" s="105">
        <v>5</v>
      </c>
      <c r="W29" s="104"/>
      <c r="X29" s="104"/>
      <c r="Y29" s="106"/>
      <c r="Z29" s="107">
        <v>0</v>
      </c>
      <c r="AA29" s="105">
        <v>1</v>
      </c>
      <c r="AB29" s="234" t="s">
        <v>1902</v>
      </c>
      <c r="AC29" s="235" t="s">
        <v>1638</v>
      </c>
      <c r="AD29" s="117">
        <v>0.26315789473684209</v>
      </c>
      <c r="AE29" s="253">
        <v>0.26319999999999999</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"(전남대)" &amp; " " &amp; IF(P29="","",TEXT(P29,"M/D-")) &amp; IF(Q29="","",TEXT(Q29,"M/D")) &amp; " "</f>
        <v xml:space="preserve">    26.32% Safety Guardrail·품질평가 체계 설계(전남대) 7/6-7/31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ht="14.5" outlineLevel="1">
      <c r="A30" s="102"/>
      <c r="B30" s="102" t="s">
        <v>1385</v>
      </c>
      <c r="C30" s="102">
        <v>2</v>
      </c>
      <c r="D30" s="118" t="s">
        <v>1651</v>
      </c>
      <c r="E30" s="103"/>
      <c r="F30" s="103" t="s">
        <v>1642</v>
      </c>
      <c r="G30" s="103"/>
      <c r="H30" s="103"/>
      <c r="I30" s="103"/>
      <c r="J30" s="103"/>
      <c r="K30" s="103"/>
      <c r="L30" s="103"/>
      <c r="M30" s="103"/>
      <c r="N30" s="103"/>
      <c r="O30" s="232"/>
      <c r="P30" s="104">
        <v>46161</v>
      </c>
      <c r="Q30" s="104">
        <v>46178</v>
      </c>
      <c r="R30" s="103"/>
      <c r="S30" s="105">
        <v>12</v>
      </c>
      <c r="T30" s="105">
        <v>12</v>
      </c>
      <c r="U30" s="105">
        <v>12</v>
      </c>
      <c r="V30" s="105">
        <v>12</v>
      </c>
      <c r="W30" s="104"/>
      <c r="X30" s="104"/>
      <c r="Y30" s="106">
        <v>0</v>
      </c>
      <c r="Z30" s="107">
        <v>0</v>
      </c>
      <c r="AA30" s="105"/>
      <c r="AB30" s="248" t="s">
        <v>1789</v>
      </c>
      <c r="AC30" s="238"/>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6" outlineLevel="2">
      <c r="A31" s="102"/>
      <c r="B31" s="102"/>
      <c r="C31" s="102">
        <v>3</v>
      </c>
      <c r="D31" s="118" t="s">
        <v>1652</v>
      </c>
      <c r="E31" s="103"/>
      <c r="F31" s="103"/>
      <c r="G31" s="209" t="s">
        <v>1645</v>
      </c>
      <c r="H31" s="209"/>
      <c r="I31" s="209"/>
      <c r="J31" s="103"/>
      <c r="K31" s="103"/>
      <c r="L31" s="103"/>
      <c r="M31" s="103"/>
      <c r="N31" s="103"/>
      <c r="O31" s="233"/>
      <c r="P31" s="227">
        <v>46161</v>
      </c>
      <c r="Q31" s="227">
        <v>46164</v>
      </c>
      <c r="R31" s="103"/>
      <c r="S31" s="105">
        <v>4</v>
      </c>
      <c r="T31" s="105">
        <v>4</v>
      </c>
      <c r="U31" s="105">
        <v>4</v>
      </c>
      <c r="V31" s="105">
        <v>4</v>
      </c>
      <c r="W31" s="104"/>
      <c r="X31" s="104"/>
      <c r="Y31" s="106"/>
      <c r="Z31" s="107">
        <v>0</v>
      </c>
      <c r="AA31" s="105">
        <v>1</v>
      </c>
      <c r="AB31" s="234" t="s">
        <v>1789</v>
      </c>
      <c r="AC31" s="258" t="s">
        <v>1642</v>
      </c>
      <c r="AD31" s="117">
        <v>1</v>
      </c>
      <c r="AE31" s="256">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6" outlineLevel="2">
      <c r="A32" s="102"/>
      <c r="B32" s="102"/>
      <c r="C32" s="102">
        <v>3</v>
      </c>
      <c r="D32" s="118" t="s">
        <v>1653</v>
      </c>
      <c r="E32" s="103"/>
      <c r="F32" s="103"/>
      <c r="G32" s="209" t="s">
        <v>1646</v>
      </c>
      <c r="H32" s="209"/>
      <c r="I32" s="209"/>
      <c r="J32" s="103"/>
      <c r="K32" s="103"/>
      <c r="L32" s="103"/>
      <c r="M32" s="103"/>
      <c r="N32" s="103"/>
      <c r="O32" s="233"/>
      <c r="P32" s="227">
        <f>Q31+3</f>
        <v>46167</v>
      </c>
      <c r="Q32" s="227">
        <v>46178</v>
      </c>
      <c r="R32" s="103"/>
      <c r="S32" s="105">
        <v>8</v>
      </c>
      <c r="T32" s="105">
        <v>8</v>
      </c>
      <c r="U32" s="105">
        <v>8</v>
      </c>
      <c r="V32" s="105">
        <v>8</v>
      </c>
      <c r="W32" s="104"/>
      <c r="X32" s="104"/>
      <c r="Y32" s="106"/>
      <c r="Z32" s="107">
        <v>0</v>
      </c>
      <c r="AA32" s="105">
        <v>1</v>
      </c>
      <c r="AB32" s="234" t="s">
        <v>1789</v>
      </c>
      <c r="AC32" s="237"/>
      <c r="AD32" s="117">
        <v>1</v>
      </c>
      <c r="AE32" s="256">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ht="14.5" outlineLevel="1">
      <c r="A33" s="102"/>
      <c r="B33" s="102" t="s">
        <v>1385</v>
      </c>
      <c r="C33" s="102">
        <v>2</v>
      </c>
      <c r="D33" s="118" t="s">
        <v>1657</v>
      </c>
      <c r="E33" s="103"/>
      <c r="F33" s="271" t="s">
        <v>1647</v>
      </c>
      <c r="G33" s="271"/>
      <c r="H33" s="271"/>
      <c r="I33" s="271"/>
      <c r="J33" s="103"/>
      <c r="K33" s="103"/>
      <c r="L33" s="103"/>
      <c r="M33" s="103"/>
      <c r="N33" s="103"/>
      <c r="O33" s="232"/>
      <c r="P33" s="104">
        <v>46218</v>
      </c>
      <c r="Q33" s="104">
        <v>46265</v>
      </c>
      <c r="R33" s="103"/>
      <c r="S33" s="105">
        <v>64</v>
      </c>
      <c r="T33" s="105">
        <v>0</v>
      </c>
      <c r="U33" s="105">
        <v>32</v>
      </c>
      <c r="V33" s="105">
        <v>0</v>
      </c>
      <c r="W33" s="104"/>
      <c r="X33" s="104"/>
      <c r="Y33" s="106">
        <v>0</v>
      </c>
      <c r="Z33" s="107">
        <v>0</v>
      </c>
      <c r="AA33" s="105"/>
      <c r="AB33" s="248" t="s">
        <v>1789</v>
      </c>
      <c r="AC33" s="238"/>
      <c r="AD33" s="117">
        <v>0</v>
      </c>
      <c r="AE33" s="206">
        <v>0</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t="str">
        <f>"" &amp; TEXT(AE33,"#0.00%") &amp; " "</f>
        <v xml:space="preserve">0.00% </v>
      </c>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7/15-8/31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6" outlineLevel="2">
      <c r="A34" s="102"/>
      <c r="B34" s="102"/>
      <c r="C34" s="102">
        <v>3</v>
      </c>
      <c r="D34" s="118" t="s">
        <v>1658</v>
      </c>
      <c r="E34" s="324"/>
      <c r="F34" s="324"/>
      <c r="G34" s="325" t="s">
        <v>1643</v>
      </c>
      <c r="H34" s="325"/>
      <c r="I34" s="325"/>
      <c r="J34" s="324"/>
      <c r="K34" s="324"/>
      <c r="L34" s="324"/>
      <c r="M34" s="324"/>
      <c r="N34" s="324"/>
      <c r="O34" s="326"/>
      <c r="P34" s="227">
        <v>46218</v>
      </c>
      <c r="Q34" s="227">
        <v>46265</v>
      </c>
      <c r="R34" s="103"/>
      <c r="S34" s="105">
        <v>32</v>
      </c>
      <c r="T34" s="105">
        <v>0</v>
      </c>
      <c r="U34" s="105">
        <v>32</v>
      </c>
      <c r="V34" s="105">
        <v>0</v>
      </c>
      <c r="W34" s="104"/>
      <c r="X34" s="104"/>
      <c r="Y34" s="106"/>
      <c r="Z34" s="107">
        <v>0</v>
      </c>
      <c r="AA34" s="105">
        <v>1</v>
      </c>
      <c r="AB34" s="234" t="s">
        <v>1789</v>
      </c>
      <c r="AC34" s="235" t="s">
        <v>1820</v>
      </c>
      <c r="AD34" s="117">
        <v>0</v>
      </c>
      <c r="AE34" s="199">
        <v>0</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t="str">
        <f>"" &amp; TEXT(AE34,"#0.00%") &amp; " "</f>
        <v xml:space="preserve">0.00% </v>
      </c>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7/15-8/31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7" outlineLevel="2">
      <c r="A35" s="102"/>
      <c r="B35" s="102"/>
      <c r="C35" s="102">
        <v>3</v>
      </c>
      <c r="D35" s="118" t="s">
        <v>1659</v>
      </c>
      <c r="E35" s="324"/>
      <c r="F35" s="324"/>
      <c r="G35" s="327" t="s">
        <v>1644</v>
      </c>
      <c r="H35" s="328"/>
      <c r="I35" s="328"/>
      <c r="J35" s="324"/>
      <c r="K35" s="324"/>
      <c r="L35" s="324"/>
      <c r="M35" s="324"/>
      <c r="N35" s="324"/>
      <c r="O35" s="326"/>
      <c r="P35" s="227">
        <v>46218</v>
      </c>
      <c r="Q35" s="227">
        <v>46265</v>
      </c>
      <c r="R35" s="103"/>
      <c r="S35" s="105">
        <v>32</v>
      </c>
      <c r="T35" s="105">
        <v>0</v>
      </c>
      <c r="U35" s="105">
        <v>32</v>
      </c>
      <c r="V35" s="105">
        <v>0</v>
      </c>
      <c r="W35" s="104"/>
      <c r="X35" s="104"/>
      <c r="Y35" s="106"/>
      <c r="Z35" s="107">
        <v>0</v>
      </c>
      <c r="AA35" s="105">
        <v>1</v>
      </c>
      <c r="AB35" s="234" t="s">
        <v>1789</v>
      </c>
      <c r="AC35" s="235" t="s">
        <v>1820</v>
      </c>
      <c r="AD35" s="117">
        <v>0</v>
      </c>
      <c r="AE35" s="199">
        <v>0</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t="str">
        <f>"" &amp; TEXT(AE35,"#0.00%") &amp; " "</f>
        <v xml:space="preserve">0.00% </v>
      </c>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ht="14.5" outlineLevel="1">
      <c r="A36" s="102"/>
      <c r="B36" s="102" t="s">
        <v>1385</v>
      </c>
      <c r="C36" s="102">
        <v>2</v>
      </c>
      <c r="D36" s="118" t="s">
        <v>1888</v>
      </c>
      <c r="E36" s="103"/>
      <c r="F36" s="271" t="s">
        <v>1656</v>
      </c>
      <c r="G36" s="271"/>
      <c r="H36" s="271"/>
      <c r="I36" s="271"/>
      <c r="J36" s="103"/>
      <c r="K36" s="103"/>
      <c r="L36" s="103"/>
      <c r="M36" s="103"/>
      <c r="N36" s="103"/>
      <c r="O36" s="232"/>
      <c r="P36" s="104">
        <v>46188</v>
      </c>
      <c r="Q36" s="104">
        <v>46265</v>
      </c>
      <c r="R36" s="103"/>
      <c r="S36" s="105">
        <v>66</v>
      </c>
      <c r="T36" s="105">
        <v>20</v>
      </c>
      <c r="U36" s="105">
        <v>54</v>
      </c>
      <c r="V36" s="105">
        <v>20</v>
      </c>
      <c r="W36" s="104"/>
      <c r="X36" s="104"/>
      <c r="Y36" s="106">
        <v>0</v>
      </c>
      <c r="Z36" s="107">
        <v>0</v>
      </c>
      <c r="AA36" s="105"/>
      <c r="AB36" s="248" t="s">
        <v>1821</v>
      </c>
      <c r="AC36" s="238"/>
      <c r="AD36" s="117">
        <v>0.30303030303030304</v>
      </c>
      <c r="AE36" s="217">
        <v>0.30301212121212118</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t="str">
        <f>"" &amp; TEXT(AE36,"#0.00%") &amp; " "</f>
        <v xml:space="preserve">30.30% </v>
      </c>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6" outlineLevel="2">
      <c r="A37" s="102"/>
      <c r="B37" s="102"/>
      <c r="C37" s="102">
        <v>3</v>
      </c>
      <c r="D37" s="118" t="s">
        <v>1889</v>
      </c>
      <c r="E37" s="103"/>
      <c r="F37" s="103"/>
      <c r="G37" s="209" t="s">
        <v>1654</v>
      </c>
      <c r="H37" s="209"/>
      <c r="I37" s="209"/>
      <c r="J37" s="103"/>
      <c r="K37" s="103"/>
      <c r="L37" s="103"/>
      <c r="M37" s="103"/>
      <c r="N37" s="103"/>
      <c r="O37" s="233" t="s">
        <v>1822</v>
      </c>
      <c r="P37" s="227">
        <v>46188</v>
      </c>
      <c r="Q37" s="236">
        <v>46234</v>
      </c>
      <c r="R37" s="103"/>
      <c r="S37" s="105">
        <v>34</v>
      </c>
      <c r="T37" s="105">
        <v>20</v>
      </c>
      <c r="U37" s="105">
        <v>34</v>
      </c>
      <c r="V37" s="105">
        <v>20</v>
      </c>
      <c r="W37" s="104"/>
      <c r="X37" s="104"/>
      <c r="Y37" s="106"/>
      <c r="Z37" s="107">
        <v>0</v>
      </c>
      <c r="AA37" s="105">
        <v>1</v>
      </c>
      <c r="AB37" s="320" t="s">
        <v>1630</v>
      </c>
      <c r="AC37" s="235" t="s">
        <v>1823</v>
      </c>
      <c r="AD37" s="117">
        <v>0.58823529411764708</v>
      </c>
      <c r="AE37" s="226">
        <v>0.58819999999999995</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t="str">
        <f>"" &amp; TEXT(AE37,"#0.00%") &amp; " "</f>
        <v xml:space="preserve">58.82% </v>
      </c>
      <c r="CL37" s="121"/>
      <c r="CM37" s="121"/>
      <c r="CN37" s="121"/>
      <c r="CO37" s="121"/>
      <c r="CP37" s="121"/>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7" outlineLevel="2">
      <c r="A38" s="102"/>
      <c r="B38" s="102"/>
      <c r="C38" s="102">
        <v>3</v>
      </c>
      <c r="D38" s="118" t="s">
        <v>1890</v>
      </c>
      <c r="E38" s="103"/>
      <c r="F38" s="103"/>
      <c r="G38" s="239" t="s">
        <v>1655</v>
      </c>
      <c r="H38" s="240"/>
      <c r="I38" s="240"/>
      <c r="J38" s="103"/>
      <c r="K38" s="103"/>
      <c r="L38" s="103"/>
      <c r="M38" s="103"/>
      <c r="N38" s="103"/>
      <c r="O38" s="233" t="s">
        <v>1824</v>
      </c>
      <c r="P38" s="227">
        <v>46218</v>
      </c>
      <c r="Q38" s="227">
        <v>46265</v>
      </c>
      <c r="R38" s="103"/>
      <c r="S38" s="105">
        <v>32</v>
      </c>
      <c r="T38" s="105">
        <v>0</v>
      </c>
      <c r="U38" s="105">
        <v>32</v>
      </c>
      <c r="V38" s="105">
        <v>0</v>
      </c>
      <c r="W38" s="104"/>
      <c r="X38" s="104"/>
      <c r="Y38" s="106"/>
      <c r="Z38" s="107">
        <v>0</v>
      </c>
      <c r="AA38" s="105">
        <v>1</v>
      </c>
      <c r="AB38" s="320" t="s">
        <v>1630</v>
      </c>
      <c r="AC38" s="235" t="s">
        <v>1823</v>
      </c>
      <c r="AD38" s="117">
        <v>0</v>
      </c>
      <c r="AE38" s="199">
        <v>0</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t="str">
        <f>"" &amp; TEXT(AE38,"#0.00%") &amp; " "</f>
        <v xml:space="preserve">0.00% </v>
      </c>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ht="14.5">
      <c r="A39" s="102"/>
      <c r="B39" s="102" t="s">
        <v>1385</v>
      </c>
      <c r="C39" s="102">
        <v>1</v>
      </c>
      <c r="D39" s="118" t="s">
        <v>1465</v>
      </c>
      <c r="E39" s="103" t="s">
        <v>1456</v>
      </c>
      <c r="F39" s="103"/>
      <c r="G39" s="103"/>
      <c r="H39" s="103"/>
      <c r="I39" s="103"/>
      <c r="J39" s="103"/>
      <c r="K39" s="103"/>
      <c r="L39" s="103"/>
      <c r="M39" s="103"/>
      <c r="N39" s="103"/>
      <c r="O39" s="242"/>
      <c r="P39" s="104">
        <v>46168</v>
      </c>
      <c r="Q39" s="104">
        <v>46387</v>
      </c>
      <c r="R39" s="103"/>
      <c r="S39" s="105">
        <v>1082</v>
      </c>
      <c r="T39" s="105">
        <v>90</v>
      </c>
      <c r="U39" s="105">
        <v>150</v>
      </c>
      <c r="V39" s="105">
        <v>33</v>
      </c>
      <c r="W39" s="104"/>
      <c r="X39" s="104"/>
      <c r="Y39" s="106">
        <v>0</v>
      </c>
      <c r="Z39" s="107">
        <v>0</v>
      </c>
      <c r="AA39" s="105"/>
      <c r="AB39" s="249"/>
      <c r="AC39" s="243"/>
      <c r="AD39" s="117">
        <v>8.3179297597042512E-2</v>
      </c>
      <c r="AE39" s="255">
        <v>8.3181792975970434E-2</v>
      </c>
      <c r="AF39" s="120"/>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t="str">
        <f>"" &amp; TEXT(AE39,"#0.00%") &amp; " "</f>
        <v xml:space="preserve">8.32% </v>
      </c>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ht="14.5" outlineLevel="1">
      <c r="A40" s="102"/>
      <c r="B40" s="102" t="s">
        <v>1385</v>
      </c>
      <c r="C40" s="102">
        <v>2</v>
      </c>
      <c r="D40" s="118" t="s">
        <v>1466</v>
      </c>
      <c r="E40" s="103"/>
      <c r="F40" s="103" t="s">
        <v>1660</v>
      </c>
      <c r="G40" s="103"/>
      <c r="H40" s="103"/>
      <c r="I40" s="103"/>
      <c r="J40" s="103"/>
      <c r="K40" s="103"/>
      <c r="L40" s="103"/>
      <c r="M40" s="103"/>
      <c r="N40" s="103"/>
      <c r="O40" s="232"/>
      <c r="P40" s="104">
        <v>46237</v>
      </c>
      <c r="Q40" s="104">
        <v>46356</v>
      </c>
      <c r="R40" s="103"/>
      <c r="S40" s="105">
        <v>115</v>
      </c>
      <c r="T40" s="105">
        <v>0</v>
      </c>
      <c r="U40" s="105">
        <v>81</v>
      </c>
      <c r="V40" s="105">
        <v>0</v>
      </c>
      <c r="W40" s="104"/>
      <c r="X40" s="104"/>
      <c r="Y40" s="106">
        <v>0</v>
      </c>
      <c r="Z40" s="107">
        <v>0</v>
      </c>
      <c r="AA40" s="105"/>
      <c r="AB40" s="248" t="s">
        <v>1821</v>
      </c>
      <c r="AC40" s="238"/>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6" outlineLevel="2">
      <c r="A41" s="102"/>
      <c r="B41" s="102"/>
      <c r="C41" s="102">
        <v>3</v>
      </c>
      <c r="D41" s="118" t="s">
        <v>1452</v>
      </c>
      <c r="E41" s="103"/>
      <c r="F41" s="103"/>
      <c r="G41" s="103" t="s">
        <v>1661</v>
      </c>
      <c r="H41" s="103"/>
      <c r="I41" s="103"/>
      <c r="J41" s="103"/>
      <c r="K41" s="103"/>
      <c r="L41" s="103"/>
      <c r="M41" s="103"/>
      <c r="N41" s="103"/>
      <c r="O41" s="233"/>
      <c r="P41" s="236">
        <v>46237</v>
      </c>
      <c r="Q41" s="236">
        <v>46317</v>
      </c>
      <c r="R41" s="103"/>
      <c r="S41" s="105">
        <v>54</v>
      </c>
      <c r="T41" s="105">
        <v>0</v>
      </c>
      <c r="U41" s="105">
        <v>54</v>
      </c>
      <c r="V41" s="105">
        <v>0</v>
      </c>
      <c r="W41" s="104">
        <v>46093</v>
      </c>
      <c r="X41" s="104">
        <v>46111</v>
      </c>
      <c r="Y41" s="106">
        <v>13</v>
      </c>
      <c r="Z41" s="107">
        <v>13</v>
      </c>
      <c r="AA41" s="105">
        <v>1</v>
      </c>
      <c r="AB41" s="319" t="s">
        <v>1630</v>
      </c>
      <c r="AC41" s="237" t="s">
        <v>1790</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6" outlineLevel="2">
      <c r="A42" s="102"/>
      <c r="B42" s="102"/>
      <c r="C42" s="102">
        <v>3</v>
      </c>
      <c r="D42" s="118" t="s">
        <v>1453</v>
      </c>
      <c r="E42" s="103"/>
      <c r="F42" s="103"/>
      <c r="G42" s="103" t="s">
        <v>1662</v>
      </c>
      <c r="H42" s="103"/>
      <c r="I42" s="103"/>
      <c r="J42" s="103"/>
      <c r="K42" s="103"/>
      <c r="L42" s="103"/>
      <c r="M42" s="103"/>
      <c r="N42" s="103"/>
      <c r="O42" s="233"/>
      <c r="P42" s="236">
        <v>46266</v>
      </c>
      <c r="Q42" s="236">
        <v>46356</v>
      </c>
      <c r="R42" s="103"/>
      <c r="S42" s="105">
        <v>61</v>
      </c>
      <c r="T42" s="105">
        <v>0</v>
      </c>
      <c r="U42" s="105">
        <v>61</v>
      </c>
      <c r="V42" s="105">
        <v>0</v>
      </c>
      <c r="W42" s="104">
        <v>46093</v>
      </c>
      <c r="X42" s="104">
        <v>46111</v>
      </c>
      <c r="Y42" s="106">
        <v>13</v>
      </c>
      <c r="Z42" s="107">
        <v>13</v>
      </c>
      <c r="AA42" s="105">
        <v>1</v>
      </c>
      <c r="AB42" s="247" t="s">
        <v>1789</v>
      </c>
      <c r="AC42" s="237" t="s">
        <v>1791</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ht="14.5" outlineLevel="1">
      <c r="A43" s="102"/>
      <c r="B43" s="102" t="s">
        <v>1385</v>
      </c>
      <c r="C43" s="102">
        <v>2</v>
      </c>
      <c r="D43" s="118" t="s">
        <v>1467</v>
      </c>
      <c r="E43" s="103"/>
      <c r="F43" s="103" t="s">
        <v>1666</v>
      </c>
      <c r="G43" s="103"/>
      <c r="H43" s="103"/>
      <c r="I43" s="103"/>
      <c r="J43" s="103"/>
      <c r="K43" s="103"/>
      <c r="L43" s="103"/>
      <c r="M43" s="103"/>
      <c r="N43" s="103"/>
      <c r="O43" s="232"/>
      <c r="P43" s="104">
        <v>46216</v>
      </c>
      <c r="Q43" s="104">
        <v>46353</v>
      </c>
      <c r="R43" s="103"/>
      <c r="S43" s="105">
        <v>75</v>
      </c>
      <c r="T43" s="105">
        <v>0</v>
      </c>
      <c r="U43" s="105">
        <v>94</v>
      </c>
      <c r="V43" s="105">
        <v>0</v>
      </c>
      <c r="W43" s="104"/>
      <c r="X43" s="104"/>
      <c r="Y43" s="106">
        <v>0</v>
      </c>
      <c r="Z43" s="107">
        <v>0</v>
      </c>
      <c r="AA43" s="105"/>
      <c r="AB43" s="248" t="s">
        <v>1821</v>
      </c>
      <c r="AC43" s="238"/>
      <c r="AD43" s="117">
        <v>0</v>
      </c>
      <c r="AE43" s="206">
        <v>0</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t="str">
        <f>"" &amp; TEXT(AE43,"#0.00%") &amp; " "</f>
        <v xml:space="preserve">0.00% </v>
      </c>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6" outlineLevel="2">
      <c r="A44" s="102"/>
      <c r="B44" s="102"/>
      <c r="C44" s="102">
        <v>3</v>
      </c>
      <c r="D44" s="118" t="s">
        <v>1454</v>
      </c>
      <c r="E44" s="103"/>
      <c r="F44" s="103"/>
      <c r="G44" s="103" t="s">
        <v>1667</v>
      </c>
      <c r="H44" s="103"/>
      <c r="I44" s="103"/>
      <c r="J44" s="103"/>
      <c r="K44" s="103"/>
      <c r="L44" s="103"/>
      <c r="M44" s="103"/>
      <c r="N44" s="103"/>
      <c r="O44" s="241" t="s">
        <v>1825</v>
      </c>
      <c r="P44" s="236">
        <v>46216</v>
      </c>
      <c r="Q44" s="236">
        <v>46296</v>
      </c>
      <c r="R44" s="103"/>
      <c r="S44" s="105">
        <v>55</v>
      </c>
      <c r="T44" s="105">
        <v>0</v>
      </c>
      <c r="U44" s="105">
        <v>55</v>
      </c>
      <c r="V44" s="105">
        <v>0</v>
      </c>
      <c r="W44" s="104">
        <v>46093</v>
      </c>
      <c r="X44" s="104">
        <v>46111</v>
      </c>
      <c r="Y44" s="106">
        <v>13</v>
      </c>
      <c r="Z44" s="107">
        <v>13</v>
      </c>
      <c r="AA44" s="105">
        <v>1</v>
      </c>
      <c r="AB44" s="319" t="s">
        <v>1630</v>
      </c>
      <c r="AC44" s="237" t="s">
        <v>1792</v>
      </c>
      <c r="AD44" s="117">
        <v>0</v>
      </c>
      <c r="AE44" s="199">
        <v>0</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t="str">
        <f>"" &amp; TEXT(AE44,"#0.00%") &amp; " "</f>
        <v xml:space="preserve">0.00% </v>
      </c>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6" outlineLevel="2">
      <c r="A45" s="102"/>
      <c r="B45" s="102"/>
      <c r="C45" s="102">
        <v>3</v>
      </c>
      <c r="D45" s="118" t="s">
        <v>1455</v>
      </c>
      <c r="E45" s="103"/>
      <c r="F45" s="103"/>
      <c r="G45" s="103" t="s">
        <v>1668</v>
      </c>
      <c r="H45" s="103"/>
      <c r="I45" s="103"/>
      <c r="J45" s="103"/>
      <c r="K45" s="103"/>
      <c r="L45" s="103"/>
      <c r="M45" s="103"/>
      <c r="N45" s="103"/>
      <c r="O45" s="241"/>
      <c r="P45" s="236">
        <v>46328</v>
      </c>
      <c r="Q45" s="321">
        <v>46353</v>
      </c>
      <c r="R45" s="103"/>
      <c r="S45" s="105">
        <v>20</v>
      </c>
      <c r="T45" s="105">
        <v>0</v>
      </c>
      <c r="U45" s="105">
        <v>20</v>
      </c>
      <c r="V45" s="105">
        <v>0</v>
      </c>
      <c r="W45" s="104">
        <v>46093</v>
      </c>
      <c r="X45" s="104">
        <v>46111</v>
      </c>
      <c r="Y45" s="106">
        <v>13</v>
      </c>
      <c r="Z45" s="107">
        <v>13</v>
      </c>
      <c r="AA45" s="105">
        <v>1</v>
      </c>
      <c r="AB45" s="319" t="s">
        <v>1630</v>
      </c>
      <c r="AC45" s="237" t="s">
        <v>1793</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ht="14.5" outlineLevel="1">
      <c r="A46" s="102"/>
      <c r="B46" s="102" t="s">
        <v>1385</v>
      </c>
      <c r="C46" s="102">
        <v>2</v>
      </c>
      <c r="D46" s="118" t="s">
        <v>1468</v>
      </c>
      <c r="E46" s="103"/>
      <c r="F46" s="103" t="s">
        <v>1669</v>
      </c>
      <c r="G46" s="103"/>
      <c r="H46" s="103"/>
      <c r="I46" s="103"/>
      <c r="J46" s="103"/>
      <c r="K46" s="103"/>
      <c r="L46" s="103"/>
      <c r="M46" s="103"/>
      <c r="N46" s="103"/>
      <c r="O46" s="232"/>
      <c r="P46" s="104">
        <v>46195</v>
      </c>
      <c r="Q46" s="104">
        <v>46295</v>
      </c>
      <c r="R46" s="103"/>
      <c r="S46" s="105">
        <v>34</v>
      </c>
      <c r="T46" s="105">
        <v>15</v>
      </c>
      <c r="U46" s="105">
        <v>69</v>
      </c>
      <c r="V46" s="105">
        <v>15</v>
      </c>
      <c r="W46" s="104"/>
      <c r="X46" s="104"/>
      <c r="Y46" s="106">
        <v>0</v>
      </c>
      <c r="Z46" s="107">
        <v>0</v>
      </c>
      <c r="AA46" s="105"/>
      <c r="AB46" s="248" t="s">
        <v>1902</v>
      </c>
      <c r="AC46" s="238"/>
      <c r="AD46" s="117">
        <v>0.44117647058823528</v>
      </c>
      <c r="AE46" s="206">
        <v>0.44117647058823528</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t="str">
        <f>"" &amp; TEXT(AE46,"#0.00%") &amp; " "</f>
        <v xml:space="preserve">44.12% </v>
      </c>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t="str">
        <f>"" &amp; "RAG 엔진 v1.0 구축" &amp; "(전남대)" &amp; " " &amp; IF(P46="","",TEXT(P46,"M/D-")) &amp; IF(Q46="","",TEXT(Q46,"M/D")) &amp; " "</f>
        <v xml:space="preserve">RAG 엔진 v1.0 구축(전남대) 6/22-9/30 </v>
      </c>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6" outlineLevel="2">
      <c r="A47" s="102"/>
      <c r="B47" s="102"/>
      <c r="C47" s="102">
        <v>3</v>
      </c>
      <c r="D47" s="118" t="s">
        <v>1457</v>
      </c>
      <c r="E47" s="103"/>
      <c r="F47" s="103"/>
      <c r="G47" s="209" t="s">
        <v>1670</v>
      </c>
      <c r="H47" s="209"/>
      <c r="I47" s="209"/>
      <c r="J47" s="103"/>
      <c r="K47" s="103"/>
      <c r="L47" s="103"/>
      <c r="M47" s="103"/>
      <c r="N47" s="103"/>
      <c r="O47" s="233"/>
      <c r="P47" s="227">
        <v>46195</v>
      </c>
      <c r="Q47" s="227">
        <v>46213</v>
      </c>
      <c r="R47" s="103"/>
      <c r="S47" s="105">
        <v>15</v>
      </c>
      <c r="T47" s="105">
        <v>15</v>
      </c>
      <c r="U47" s="105">
        <v>15</v>
      </c>
      <c r="V47" s="105">
        <v>15</v>
      </c>
      <c r="W47" s="104"/>
      <c r="X47" s="104"/>
      <c r="Y47" s="106"/>
      <c r="Z47" s="107">
        <v>0</v>
      </c>
      <c r="AA47" s="105">
        <v>1</v>
      </c>
      <c r="AB47" s="234" t="s">
        <v>1902</v>
      </c>
      <c r="AC47" s="265" t="s">
        <v>1794</v>
      </c>
      <c r="AD47" s="117">
        <v>1</v>
      </c>
      <c r="AE47" s="199">
        <v>1</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t="str">
        <f>"" &amp; TEXT(AE47,"#0.00%") &amp; " " &amp; "RAG 엔진 v0.1 구축" &amp; "(전남대)" &amp; " " &amp; IF(P47="","",TEXT(P47,"M/D-")) &amp; IF(Q47="","",TEXT(Q47,"M/D")) &amp; " "</f>
        <v xml:space="preserve">100.00% RAG 엔진 v0.1 구축(전남대) 6/22-7/10 </v>
      </c>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3" outlineLevel="2">
      <c r="A48" s="102"/>
      <c r="B48" s="102"/>
      <c r="C48" s="102">
        <v>3</v>
      </c>
      <c r="D48" s="118" t="s">
        <v>1458</v>
      </c>
      <c r="E48" s="103"/>
      <c r="F48" s="103"/>
      <c r="G48" s="209" t="s">
        <v>1671</v>
      </c>
      <c r="H48" s="209"/>
      <c r="I48" s="209"/>
      <c r="J48" s="103"/>
      <c r="K48" s="103"/>
      <c r="L48" s="103"/>
      <c r="M48" s="103"/>
      <c r="N48" s="103"/>
      <c r="O48" s="233" t="s">
        <v>1809</v>
      </c>
      <c r="P48" s="227">
        <v>46216</v>
      </c>
      <c r="Q48" s="227">
        <v>46241</v>
      </c>
      <c r="R48" s="103"/>
      <c r="S48" s="105">
        <v>19</v>
      </c>
      <c r="T48" s="105">
        <v>0</v>
      </c>
      <c r="U48" s="105">
        <v>19</v>
      </c>
      <c r="V48" s="105">
        <v>0</v>
      </c>
      <c r="W48" s="104"/>
      <c r="X48" s="104"/>
      <c r="Y48" s="106"/>
      <c r="Z48" s="107">
        <v>0</v>
      </c>
      <c r="AA48" s="105">
        <v>1</v>
      </c>
      <c r="AB48" s="234" t="s">
        <v>1902</v>
      </c>
      <c r="AC48" s="235" t="s">
        <v>1795</v>
      </c>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t="str">
        <f>"" &amp; TEXT(AE48,"#0.00%") &amp; " "</f>
        <v xml:space="preserve">0.00% </v>
      </c>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t="str">
        <f>"" &amp; "RAG 엔진 v0.5 구축 및 평가 데이터셋 구축" &amp; "(전남대)" &amp; " " &amp; IF(P48="","",TEXT(P48,"M/D-")) &amp; IF(Q48="","",TEXT(Q48,"M/D")) &amp; " "</f>
        <v xml:space="preserve">RAG 엔진 v0.5 구축 및 평가 데이터셋 구축(전남대) 7/13-8/7 </v>
      </c>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3" outlineLevel="2">
      <c r="A49" s="102" t="s">
        <v>1450</v>
      </c>
      <c r="B49" s="102"/>
      <c r="C49" s="102">
        <v>3</v>
      </c>
      <c r="D49" s="118" t="s">
        <v>1703</v>
      </c>
      <c r="E49" s="103"/>
      <c r="F49" s="103"/>
      <c r="G49" s="209" t="s">
        <v>1672</v>
      </c>
      <c r="H49" s="209"/>
      <c r="I49" s="209"/>
      <c r="J49" s="103"/>
      <c r="K49" s="103"/>
      <c r="L49" s="103"/>
      <c r="M49" s="103"/>
      <c r="N49" s="103"/>
      <c r="O49" s="233" t="s">
        <v>1810</v>
      </c>
      <c r="P49" s="227">
        <v>46244</v>
      </c>
      <c r="Q49" s="227">
        <v>46295</v>
      </c>
      <c r="R49" s="103"/>
      <c r="S49" s="105">
        <v>0</v>
      </c>
      <c r="T49" s="105">
        <v>0</v>
      </c>
      <c r="U49" s="105">
        <v>35</v>
      </c>
      <c r="V49" s="105">
        <v>0</v>
      </c>
      <c r="W49" s="104"/>
      <c r="X49" s="104"/>
      <c r="Y49" s="106"/>
      <c r="Z49" s="107">
        <v>0</v>
      </c>
      <c r="AA49" s="105">
        <v>1</v>
      </c>
      <c r="AB49" s="234" t="s">
        <v>1902</v>
      </c>
      <c r="AC49" s="235" t="s">
        <v>1796</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t="str">
        <f>"    " &amp; TEXT(AE49,"#0.00%") &amp; " " &amp; "검색 고도화 및 v1.0 확정" &amp; "(전남대)" &amp; " " &amp; IF(P49="","",TEXT(P49,"M/D-")) &amp; IF(Q49="","",TEXT(Q49,"M/D")) &amp; " "</f>
        <v xml:space="preserve">    0.00% 검색 고도화 및 v1.0 확정(전남대) 8/10-9/30 </v>
      </c>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ht="14.5" outlineLevel="1">
      <c r="A50" s="102"/>
      <c r="B50" s="102" t="s">
        <v>1385</v>
      </c>
      <c r="C50" s="102">
        <v>2</v>
      </c>
      <c r="D50" s="118" t="s">
        <v>1469</v>
      </c>
      <c r="E50" s="103"/>
      <c r="F50" s="103" t="s">
        <v>1673</v>
      </c>
      <c r="G50" s="103"/>
      <c r="H50" s="103"/>
      <c r="I50" s="103"/>
      <c r="J50" s="103"/>
      <c r="K50" s="103"/>
      <c r="L50" s="103"/>
      <c r="M50" s="103"/>
      <c r="N50" s="103"/>
      <c r="O50" s="232"/>
      <c r="P50" s="104">
        <v>46174</v>
      </c>
      <c r="Q50" s="104">
        <v>46325</v>
      </c>
      <c r="R50" s="103"/>
      <c r="S50" s="105">
        <v>131</v>
      </c>
      <c r="T50" s="105">
        <v>34</v>
      </c>
      <c r="U50" s="105">
        <v>103</v>
      </c>
      <c r="V50" s="105">
        <v>29</v>
      </c>
      <c r="W50" s="104"/>
      <c r="X50" s="104"/>
      <c r="Y50" s="106">
        <v>0</v>
      </c>
      <c r="Z50" s="107">
        <v>0</v>
      </c>
      <c r="AA50" s="105"/>
      <c r="AB50" s="248" t="s">
        <v>1902</v>
      </c>
      <c r="AC50" s="238"/>
      <c r="AD50" s="117">
        <v>0.25954198473282442</v>
      </c>
      <c r="AE50" s="254">
        <v>0.25954809160305342</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t="str">
        <f>"" &amp; TEXT(AE50,"#0.00%") &amp; " "</f>
        <v xml:space="preserve">25.95% </v>
      </c>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t="str">
        <f>"" &amp; "온톨로지 v1.0 구축" &amp; "(전남대)" &amp; " " &amp; IF(P50="","",TEXT(P50,"M/D-")) &amp; IF(Q50="","",TEXT(Q50,"M/D")) &amp; " "</f>
        <v xml:space="preserve">온톨로지 v1.0 구축(전남대) 6/1-10/30 </v>
      </c>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6" outlineLevel="2">
      <c r="A51" s="102"/>
      <c r="B51" s="102"/>
      <c r="C51" s="102">
        <v>3</v>
      </c>
      <c r="D51" s="118" t="s">
        <v>1459</v>
      </c>
      <c r="E51" s="103"/>
      <c r="F51" s="103"/>
      <c r="G51" s="209" t="s">
        <v>1674</v>
      </c>
      <c r="H51" s="209"/>
      <c r="I51" s="209"/>
      <c r="J51" s="103"/>
      <c r="K51" s="103"/>
      <c r="L51" s="103"/>
      <c r="M51" s="103"/>
      <c r="N51" s="103"/>
      <c r="O51" s="233"/>
      <c r="P51" s="227">
        <v>46174</v>
      </c>
      <c r="Q51" s="227">
        <v>46241</v>
      </c>
      <c r="R51" s="103"/>
      <c r="S51" s="105">
        <v>48</v>
      </c>
      <c r="T51" s="105">
        <v>29</v>
      </c>
      <c r="U51" s="105">
        <v>48</v>
      </c>
      <c r="V51" s="105">
        <v>29</v>
      </c>
      <c r="W51" s="104">
        <v>46114</v>
      </c>
      <c r="X51" s="104">
        <v>46114</v>
      </c>
      <c r="Y51" s="106">
        <v>1</v>
      </c>
      <c r="Z51" s="107">
        <v>1</v>
      </c>
      <c r="AA51" s="105">
        <v>1</v>
      </c>
      <c r="AB51" s="234" t="s">
        <v>1902</v>
      </c>
      <c r="AC51" s="235" t="s">
        <v>1797</v>
      </c>
      <c r="AD51" s="117">
        <v>0.60416666666666663</v>
      </c>
      <c r="AE51" s="253">
        <v>0.60419999999999996</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t="str">
        <f>"" &amp; TEXT(AE51,"#0.00%") &amp; " "</f>
        <v xml:space="preserve">60.42% </v>
      </c>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t="str">
        <f>"" &amp; "의료안내 원천데이터 수집·정제 및 학습데이터셋 구축" &amp; "(전남대)" &amp; " " &amp; IF(P51="","",TEXT(P51,"M/D-")) &amp; IF(Q51="","",TEXT(Q51,"M/D")) &amp; " "</f>
        <v xml:space="preserve">의료안내 원천데이터 수집·정제 및 학습데이터셋 구축(전남대) 6/1-8/7 </v>
      </c>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6" outlineLevel="2">
      <c r="A52" s="102"/>
      <c r="B52" s="102"/>
      <c r="C52" s="102">
        <v>3</v>
      </c>
      <c r="D52" s="118" t="s">
        <v>1460</v>
      </c>
      <c r="E52" s="103"/>
      <c r="F52" s="103"/>
      <c r="G52" s="209" t="s">
        <v>1675</v>
      </c>
      <c r="H52" s="209"/>
      <c r="I52" s="209"/>
      <c r="J52" s="103"/>
      <c r="K52" s="103"/>
      <c r="L52" s="103"/>
      <c r="M52" s="103"/>
      <c r="N52" s="103"/>
      <c r="O52" s="233" t="s">
        <v>1811</v>
      </c>
      <c r="P52" s="236">
        <v>46209</v>
      </c>
      <c r="Q52" s="236">
        <v>46241</v>
      </c>
      <c r="R52" s="103"/>
      <c r="S52" s="105">
        <v>24</v>
      </c>
      <c r="T52" s="105">
        <v>5</v>
      </c>
      <c r="U52" s="105">
        <v>24</v>
      </c>
      <c r="V52" s="105">
        <v>5</v>
      </c>
      <c r="W52" s="104"/>
      <c r="X52" s="104"/>
      <c r="Y52" s="106"/>
      <c r="Z52" s="107">
        <v>0</v>
      </c>
      <c r="AA52" s="105">
        <v>1</v>
      </c>
      <c r="AB52" s="234" t="s">
        <v>1902</v>
      </c>
      <c r="AC52" s="235" t="s">
        <v>1798</v>
      </c>
      <c r="AD52" s="117">
        <v>0.20833333333333334</v>
      </c>
      <c r="AE52" s="226">
        <v>0.20830000000000001</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t="str">
        <f>"" &amp; TEXT(AE52,"#0.00%") &amp; " "</f>
        <v xml:space="preserve">20.83% </v>
      </c>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t="str">
        <f>"" &amp; "지식 인스턴스 구축" &amp; "(전남대)" &amp; " " &amp; IF(P52="","",TEXT(P52,"M/D-")) &amp; IF(Q52="","",TEXT(Q52,"M/D")) &amp; " "</f>
        <v xml:space="preserve">지식 인스턴스 구축(전남대) 7/6-8/7 </v>
      </c>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6" outlineLevel="2">
      <c r="A53" s="102"/>
      <c r="B53" s="102"/>
      <c r="C53" s="102">
        <v>3</v>
      </c>
      <c r="D53" s="118" t="s">
        <v>1704</v>
      </c>
      <c r="E53" s="103"/>
      <c r="F53" s="103"/>
      <c r="G53" s="209" t="s">
        <v>1676</v>
      </c>
      <c r="H53" s="209"/>
      <c r="I53" s="209"/>
      <c r="J53" s="103"/>
      <c r="K53" s="103"/>
      <c r="L53" s="103"/>
      <c r="M53" s="103"/>
      <c r="N53" s="103"/>
      <c r="O53" s="233" t="s">
        <v>1812</v>
      </c>
      <c r="P53" s="236">
        <v>46244</v>
      </c>
      <c r="Q53" s="236">
        <v>46262</v>
      </c>
      <c r="R53" s="103"/>
      <c r="S53" s="105">
        <v>14</v>
      </c>
      <c r="T53" s="105">
        <v>0</v>
      </c>
      <c r="U53" s="105">
        <v>14</v>
      </c>
      <c r="V53" s="105">
        <v>0</v>
      </c>
      <c r="W53" s="104"/>
      <c r="X53" s="104"/>
      <c r="Y53" s="106"/>
      <c r="Z53" s="107">
        <v>0</v>
      </c>
      <c r="AA53" s="105">
        <v>1</v>
      </c>
      <c r="AB53" s="234" t="s">
        <v>1902</v>
      </c>
      <c r="AC53" s="235" t="s">
        <v>1799</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t="str">
        <f>"" &amp; TEXT(AE53,"#0.00%") &amp; " "</f>
        <v xml:space="preserve">0.00% </v>
      </c>
      <c r="DN53" s="121"/>
      <c r="DO53" s="121"/>
      <c r="DP53" s="121"/>
      <c r="DQ53" s="121"/>
      <c r="DR53" s="121"/>
      <c r="DS53" s="121"/>
      <c r="DT53" s="121"/>
      <c r="DU53" s="121"/>
      <c r="DV53" s="121"/>
      <c r="DW53" s="121"/>
      <c r="DX53" s="121"/>
      <c r="DY53" s="121"/>
      <c r="DZ53" s="121"/>
      <c r="EA53" s="121"/>
      <c r="EB53" s="121"/>
      <c r="EC53" s="121"/>
      <c r="ED53" s="121"/>
      <c r="EE53" s="121"/>
      <c r="EF53" s="121" t="str">
        <f>"" &amp; "지식 그래프 구현" &amp; "(전남대)" &amp; " " &amp; IF(P53="","",TEXT(P53,"M/D-")) &amp; IF(Q53="","",TEXT(Q53,"M/D")) &amp; " "</f>
        <v xml:space="preserve">지식 그래프 구현(전남대) 8/10-8/28 </v>
      </c>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6" outlineLevel="2">
      <c r="A54" s="102"/>
      <c r="B54" s="102"/>
      <c r="C54" s="102">
        <v>3</v>
      </c>
      <c r="D54" s="118" t="s">
        <v>1705</v>
      </c>
      <c r="E54" s="103"/>
      <c r="F54" s="103"/>
      <c r="G54" s="260" t="s">
        <v>1898</v>
      </c>
      <c r="H54" s="260"/>
      <c r="I54" s="260"/>
      <c r="J54" s="259"/>
      <c r="K54" s="259"/>
      <c r="L54" s="259"/>
      <c r="M54" s="259"/>
      <c r="N54" s="259"/>
      <c r="O54" s="261"/>
      <c r="P54" s="236">
        <v>46258</v>
      </c>
      <c r="Q54" s="236">
        <v>46295</v>
      </c>
      <c r="R54" s="103"/>
      <c r="S54" s="105">
        <v>26</v>
      </c>
      <c r="T54" s="105">
        <v>0</v>
      </c>
      <c r="U54" s="105">
        <v>26</v>
      </c>
      <c r="V54" s="105">
        <v>0</v>
      </c>
      <c r="W54" s="104"/>
      <c r="X54" s="104"/>
      <c r="Y54" s="106"/>
      <c r="Z54" s="107">
        <v>0</v>
      </c>
      <c r="AA54" s="105">
        <v>1</v>
      </c>
      <c r="AB54" s="234" t="s">
        <v>1902</v>
      </c>
      <c r="AC54" s="244" t="s">
        <v>1899</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t="str">
        <f>"" &amp; TEXT(AE54,"#0.00%") &amp; " "</f>
        <v xml:space="preserve">0.00% </v>
      </c>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t="str">
        <f>"" &amp; "온톨로지 v1.0 확정" &amp; "(전남대)" &amp; " " &amp; IF(P54="","",TEXT(P54,"M/D-")) &amp; IF(Q54="","",TEXT(Q54,"M/D")) &amp; " "</f>
        <v xml:space="preserve">온톨로지 v1.0 확정(전남대) 8/24-9/30 </v>
      </c>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ht="16" outlineLevel="2">
      <c r="A55" s="102"/>
      <c r="B55" s="102"/>
      <c r="C55" s="102">
        <v>3</v>
      </c>
      <c r="D55" s="118" t="s">
        <v>1897</v>
      </c>
      <c r="E55" s="103"/>
      <c r="F55" s="103"/>
      <c r="G55" s="260" t="s">
        <v>1900</v>
      </c>
      <c r="H55" s="260"/>
      <c r="I55" s="260"/>
      <c r="J55" s="259"/>
      <c r="K55" s="259"/>
      <c r="L55" s="259"/>
      <c r="M55" s="259"/>
      <c r="N55" s="259"/>
      <c r="O55" s="261"/>
      <c r="P55" s="236">
        <v>46297</v>
      </c>
      <c r="Q55" s="236">
        <v>46325</v>
      </c>
      <c r="R55" s="103"/>
      <c r="S55" s="105">
        <v>19</v>
      </c>
      <c r="T55" s="105">
        <v>0</v>
      </c>
      <c r="U55" s="105">
        <v>19</v>
      </c>
      <c r="V55" s="105">
        <v>0</v>
      </c>
      <c r="W55" s="104"/>
      <c r="X55" s="104"/>
      <c r="Y55" s="106"/>
      <c r="Z55" s="107">
        <v>0</v>
      </c>
      <c r="AA55" s="105">
        <v>1</v>
      </c>
      <c r="AB55" s="234" t="s">
        <v>1902</v>
      </c>
      <c r="AC55" s="244" t="s">
        <v>1901</v>
      </c>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t="str">
        <f>"" &amp; TEXT(AE55,"#0.00%") &amp; " "</f>
        <v xml:space="preserve">0.00% </v>
      </c>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t="str">
        <f>"" &amp; "전문가 자문 검증" &amp; "(전남대)" &amp; " " &amp; IF(P55="","",TEXT(P55,"M/D-")) &amp; IF(Q55="","",TEXT(Q55,"M/D")) &amp; " "</f>
        <v xml:space="preserve">전문가 자문 검증(전남대) 10/2-10/30 </v>
      </c>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ht="14.5" outlineLevel="1">
      <c r="A56" s="102"/>
      <c r="B56" s="102" t="s">
        <v>1385</v>
      </c>
      <c r="C56" s="102">
        <v>2</v>
      </c>
      <c r="D56" s="118" t="s">
        <v>1706</v>
      </c>
      <c r="E56" s="103"/>
      <c r="F56" s="103" t="s">
        <v>1677</v>
      </c>
      <c r="G56" s="103"/>
      <c r="H56" s="103"/>
      <c r="I56" s="103"/>
      <c r="J56" s="103"/>
      <c r="K56" s="103"/>
      <c r="L56" s="103"/>
      <c r="M56" s="103"/>
      <c r="N56" s="103"/>
      <c r="O56" s="232"/>
      <c r="P56" s="104">
        <v>46237</v>
      </c>
      <c r="Q56" s="104">
        <v>46356</v>
      </c>
      <c r="R56" s="103"/>
      <c r="S56" s="105">
        <v>142</v>
      </c>
      <c r="T56" s="105">
        <v>0</v>
      </c>
      <c r="U56" s="105">
        <v>81</v>
      </c>
      <c r="V56" s="105">
        <v>0</v>
      </c>
      <c r="W56" s="104"/>
      <c r="X56" s="104"/>
      <c r="Y56" s="106">
        <v>0</v>
      </c>
      <c r="Z56" s="107">
        <v>0</v>
      </c>
      <c r="AA56" s="105"/>
      <c r="AB56" s="248" t="s">
        <v>1630</v>
      </c>
      <c r="AC56" s="238"/>
      <c r="AD56" s="117">
        <v>0</v>
      </c>
      <c r="AE56" s="206">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"Proactive 트리거 개발" &amp; "(파모즈)" &amp; " " &amp; IF(P56="","",TEXT(P56,"M/D-")) &amp; IF(Q56="","",TEXT(Q56,"M/D")) &amp; " "</f>
        <v xml:space="preserve">Proactive 트리거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6" outlineLevel="2">
      <c r="A57" s="102"/>
      <c r="B57" s="102"/>
      <c r="C57" s="102">
        <v>3</v>
      </c>
      <c r="D57" s="118" t="s">
        <v>1707</v>
      </c>
      <c r="E57" s="103"/>
      <c r="F57" s="103"/>
      <c r="G57" s="209" t="s">
        <v>1695</v>
      </c>
      <c r="H57" s="209"/>
      <c r="I57" s="209"/>
      <c r="J57" s="103"/>
      <c r="K57" s="103"/>
      <c r="L57" s="103"/>
      <c r="M57" s="103"/>
      <c r="N57" s="103"/>
      <c r="O57" s="233" t="s">
        <v>1826</v>
      </c>
      <c r="P57" s="227">
        <v>46237</v>
      </c>
      <c r="Q57" s="323">
        <v>46356</v>
      </c>
      <c r="R57" s="103"/>
      <c r="S57" s="105">
        <v>81</v>
      </c>
      <c r="T57" s="105">
        <v>0</v>
      </c>
      <c r="U57" s="105">
        <v>81</v>
      </c>
      <c r="V57" s="105">
        <v>0</v>
      </c>
      <c r="W57" s="104">
        <v>46093</v>
      </c>
      <c r="X57" s="104">
        <v>46111</v>
      </c>
      <c r="Y57" s="106">
        <v>13</v>
      </c>
      <c r="Z57" s="107">
        <v>13</v>
      </c>
      <c r="AA57" s="105">
        <v>1</v>
      </c>
      <c r="AB57" s="320" t="s">
        <v>1630</v>
      </c>
      <c r="AC57" s="235" t="s">
        <v>1823</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t="str">
        <f>"" &amp; TEXT(AE57,"#0.00%") &amp; " "</f>
        <v xml:space="preserve">0.00% </v>
      </c>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개발" &amp; "(파모즈)" &amp; " " &amp; IF(P57="","",TEXT(P57,"M/D-")) &amp; IF(Q57="","",TEXT(Q57,"M/D")) &amp; " "</f>
        <v xml:space="preserve">AI SDK 개발(파모즈) 8/3-11/30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ht="16" outlineLevel="2">
      <c r="A58" s="102"/>
      <c r="B58" s="102"/>
      <c r="C58" s="102">
        <v>3</v>
      </c>
      <c r="D58" s="118" t="s">
        <v>1708</v>
      </c>
      <c r="E58" s="103"/>
      <c r="F58" s="103"/>
      <c r="G58" s="209" t="s">
        <v>1696</v>
      </c>
      <c r="H58" s="209"/>
      <c r="I58" s="209"/>
      <c r="J58" s="103"/>
      <c r="K58" s="103"/>
      <c r="L58" s="103"/>
      <c r="M58" s="103"/>
      <c r="N58" s="103"/>
      <c r="O58" s="233"/>
      <c r="P58" s="227">
        <v>46266</v>
      </c>
      <c r="Q58" s="227">
        <v>46356</v>
      </c>
      <c r="R58" s="103"/>
      <c r="S58" s="105">
        <v>61</v>
      </c>
      <c r="T58" s="105">
        <v>0</v>
      </c>
      <c r="U58" s="105">
        <v>61</v>
      </c>
      <c r="V58" s="105">
        <v>0</v>
      </c>
      <c r="W58" s="104">
        <v>46093</v>
      </c>
      <c r="X58" s="104">
        <v>46111</v>
      </c>
      <c r="Y58" s="106">
        <v>13</v>
      </c>
      <c r="Z58" s="107">
        <v>13</v>
      </c>
      <c r="AA58" s="105">
        <v>1</v>
      </c>
      <c r="AB58" s="234" t="s">
        <v>1789</v>
      </c>
      <c r="AC58" s="235" t="s">
        <v>1827</v>
      </c>
      <c r="AD58" s="117">
        <v>0</v>
      </c>
      <c r="AE58" s="199">
        <v>0</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t="str">
        <f>"" &amp; TEXT(AE58,"#0.00%") &amp; " "</f>
        <v xml:space="preserve">0.00% </v>
      </c>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"AI SDK 환자용앱 통합" &amp; "(레몬헬스케어)" &amp; " " &amp; IF(P58="","",TEXT(P58,"M/D-")) &amp; IF(Q58="","",TEXT(Q58,"M/D")) &amp; " "</f>
        <v xml:space="preserve">AI SDK 환자용앱 통합(레몬헬스케어) 9/1-11/30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ht="14.5" outlineLevel="1">
      <c r="A59" s="102"/>
      <c r="B59" s="102" t="s">
        <v>1385</v>
      </c>
      <c r="C59" s="102">
        <v>2</v>
      </c>
      <c r="D59" s="118" t="s">
        <v>1709</v>
      </c>
      <c r="E59" s="103"/>
      <c r="F59" s="103" t="s">
        <v>1678</v>
      </c>
      <c r="G59" s="103"/>
      <c r="H59" s="103"/>
      <c r="I59" s="103"/>
      <c r="J59" s="103"/>
      <c r="K59" s="103"/>
      <c r="L59" s="103"/>
      <c r="M59" s="103"/>
      <c r="N59" s="103"/>
      <c r="O59" s="232"/>
      <c r="P59" s="104">
        <v>46168</v>
      </c>
      <c r="Q59" s="104">
        <v>46356</v>
      </c>
      <c r="R59" s="103"/>
      <c r="S59" s="105">
        <v>210</v>
      </c>
      <c r="T59" s="105">
        <v>41</v>
      </c>
      <c r="U59" s="105">
        <v>128</v>
      </c>
      <c r="V59" s="105">
        <v>33</v>
      </c>
      <c r="W59" s="104"/>
      <c r="X59" s="104"/>
      <c r="Y59" s="106">
        <v>0</v>
      </c>
      <c r="Z59" s="107">
        <v>0</v>
      </c>
      <c r="AA59" s="105"/>
      <c r="AB59" s="248" t="s">
        <v>1828</v>
      </c>
      <c r="AC59" s="238"/>
      <c r="AD59" s="117">
        <v>0.19523809523809524</v>
      </c>
      <c r="AE59" s="255">
        <v>0.19524714285714284</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t="str">
        <f>"" &amp; TEXT(AE59,"#0.00%") &amp; " "</f>
        <v xml:space="preserve">19.52% </v>
      </c>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t="str">
        <f>"" &amp; "푸시 개발" &amp; "(전남대병원/레몬)" &amp; " " &amp; IF(P59="","",TEXT(P59,"M/D-")) &amp; IF(Q59="","",TEXT(Q59,"M/D")) &amp; " "</f>
        <v xml:space="preserve">푸시 개발(전남대병원/레몬) 5/26-11/30 </v>
      </c>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6" outlineLevel="2">
      <c r="A60" s="102"/>
      <c r="B60" s="102"/>
      <c r="C60" s="102">
        <v>3</v>
      </c>
      <c r="D60" s="118" t="s">
        <v>1710</v>
      </c>
      <c r="E60" s="103"/>
      <c r="F60" s="103"/>
      <c r="G60" s="209" t="s">
        <v>1697</v>
      </c>
      <c r="H60" s="209"/>
      <c r="I60" s="209"/>
      <c r="J60" s="103"/>
      <c r="K60" s="103"/>
      <c r="L60" s="103"/>
      <c r="M60" s="103"/>
      <c r="N60" s="103"/>
      <c r="O60" s="233"/>
      <c r="P60" s="227">
        <v>46168</v>
      </c>
      <c r="Q60" s="227">
        <v>46325</v>
      </c>
      <c r="R60" s="103"/>
      <c r="S60" s="105">
        <v>107</v>
      </c>
      <c r="T60" s="105">
        <v>33</v>
      </c>
      <c r="U60" s="105">
        <v>107</v>
      </c>
      <c r="V60" s="105">
        <v>33</v>
      </c>
      <c r="W60" s="104">
        <v>46093</v>
      </c>
      <c r="X60" s="104">
        <v>46111</v>
      </c>
      <c r="Y60" s="106">
        <v>13</v>
      </c>
      <c r="Z60" s="107">
        <v>13</v>
      </c>
      <c r="AA60" s="105">
        <v>1</v>
      </c>
      <c r="AB60" s="234" t="s">
        <v>1829</v>
      </c>
      <c r="AC60" s="235"/>
      <c r="AD60" s="117">
        <v>0.30841121495327101</v>
      </c>
      <c r="AE60" s="226">
        <v>0.30840000000000001</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t="str">
        <f>"" &amp; TEXT(AE60,"#0.00%") &amp; " "</f>
        <v xml:space="preserve">30.84% </v>
      </c>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t="str">
        <f>"" &amp; "푸시 발송 개발" &amp; "(전남대병원)" &amp; " " &amp; IF(P60="","",TEXT(P60,"M/D-")) &amp; IF(Q60="","",TEXT(Q60,"M/D")) &amp; " "</f>
        <v xml:space="preserve">푸시 발송 개발(전남대병원) 5/26-10/30 </v>
      </c>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ht="16" outlineLevel="2">
      <c r="A61" s="102"/>
      <c r="B61" s="102"/>
      <c r="C61" s="102">
        <v>3</v>
      </c>
      <c r="D61" s="118" t="s">
        <v>1711</v>
      </c>
      <c r="E61" s="103"/>
      <c r="F61" s="103"/>
      <c r="G61" s="209" t="s">
        <v>1698</v>
      </c>
      <c r="H61" s="209"/>
      <c r="I61" s="209"/>
      <c r="J61" s="103"/>
      <c r="K61" s="103"/>
      <c r="L61" s="103"/>
      <c r="M61" s="103"/>
      <c r="N61" s="103"/>
      <c r="O61" s="233"/>
      <c r="P61" s="227">
        <v>46204</v>
      </c>
      <c r="Q61" s="227">
        <v>46356</v>
      </c>
      <c r="R61" s="103"/>
      <c r="S61" s="105">
        <v>103</v>
      </c>
      <c r="T61" s="105">
        <v>8</v>
      </c>
      <c r="U61" s="105">
        <v>103</v>
      </c>
      <c r="V61" s="105">
        <v>8</v>
      </c>
      <c r="W61" s="104">
        <v>46093</v>
      </c>
      <c r="X61" s="104">
        <v>46111</v>
      </c>
      <c r="Y61" s="106">
        <v>13</v>
      </c>
      <c r="Z61" s="107">
        <v>13</v>
      </c>
      <c r="AA61" s="105">
        <v>1</v>
      </c>
      <c r="AB61" s="234" t="s">
        <v>1789</v>
      </c>
      <c r="AC61" s="235" t="s">
        <v>1830</v>
      </c>
      <c r="AD61" s="117">
        <v>7.7669902912621352E-2</v>
      </c>
      <c r="AE61" s="253">
        <v>7.7700000000000005E-2</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t="str">
        <f>"" &amp; TEXT(AE61,"#0.00%") &amp; " "</f>
        <v xml:space="preserve">7.77% </v>
      </c>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t="str">
        <f>"" &amp; "푸시 수신 및 AI 챗봇호출 연동 개발" &amp; "(레몬헬스케어)" &amp; " " &amp; IF(P61="","",TEXT(P61,"M/D-")) &amp; IF(Q61="","",TEXT(Q61,"M/D")) &amp; " "</f>
        <v xml:space="preserve">푸시 수신 및 AI 챗봇호출 연동 개발(레몬헬스케어) 7/1-11/30 </v>
      </c>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c r="JB61" s="121"/>
    </row>
    <row r="62" spans="1:262" ht="14.5" outlineLevel="1">
      <c r="A62" s="102"/>
      <c r="B62" s="102" t="s">
        <v>1385</v>
      </c>
      <c r="C62" s="102">
        <v>2</v>
      </c>
      <c r="D62" s="118" t="s">
        <v>1712</v>
      </c>
      <c r="E62" s="103"/>
      <c r="F62" s="103" t="s">
        <v>1679</v>
      </c>
      <c r="G62" s="103"/>
      <c r="H62" s="103"/>
      <c r="I62" s="103"/>
      <c r="J62" s="103"/>
      <c r="K62" s="103"/>
      <c r="L62" s="103"/>
      <c r="M62" s="103"/>
      <c r="N62" s="103"/>
      <c r="O62" s="232"/>
      <c r="P62" s="104">
        <v>46237</v>
      </c>
      <c r="Q62" s="104">
        <v>46387</v>
      </c>
      <c r="R62" s="103"/>
      <c r="S62" s="105">
        <v>162</v>
      </c>
      <c r="T62" s="105">
        <v>0</v>
      </c>
      <c r="U62" s="105">
        <v>103</v>
      </c>
      <c r="V62" s="105">
        <v>0</v>
      </c>
      <c r="W62" s="104"/>
      <c r="X62" s="104"/>
      <c r="Y62" s="106">
        <v>0</v>
      </c>
      <c r="Z62" s="107">
        <v>0</v>
      </c>
      <c r="AA62" s="105"/>
      <c r="AB62" s="248" t="s">
        <v>1789</v>
      </c>
      <c r="AC62" s="238"/>
      <c r="AD62" s="117">
        <v>0</v>
      </c>
      <c r="AE62" s="206">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t="str">
        <f>"" &amp; "환자용 개발앱 고도화 개발" &amp; "(레몬헬스케어)" &amp; " " &amp; IF(P62="","",TEXT(P62,"M/D-")) &amp; IF(Q62="","",TEXT(Q62,"M/D")) &amp; " "</f>
        <v xml:space="preserve">환자용 개발앱 고도화 개발(레몬헬스케어) 8/3-12/31 </v>
      </c>
      <c r="JB62" s="121"/>
    </row>
    <row r="63" spans="1:262" ht="16" outlineLevel="2">
      <c r="A63" s="102"/>
      <c r="B63" s="102"/>
      <c r="C63" s="102">
        <v>3</v>
      </c>
      <c r="D63" s="118" t="s">
        <v>1713</v>
      </c>
      <c r="E63" s="103"/>
      <c r="F63" s="103"/>
      <c r="G63" s="209" t="s">
        <v>1699</v>
      </c>
      <c r="H63" s="209"/>
      <c r="I63" s="209"/>
      <c r="J63" s="103"/>
      <c r="K63" s="103"/>
      <c r="L63" s="103"/>
      <c r="M63" s="103"/>
      <c r="N63" s="103"/>
      <c r="O63" s="233"/>
      <c r="P63" s="227">
        <v>46237</v>
      </c>
      <c r="Q63" s="227">
        <v>46356</v>
      </c>
      <c r="R63" s="103"/>
      <c r="S63" s="105">
        <v>81</v>
      </c>
      <c r="T63" s="105">
        <v>0</v>
      </c>
      <c r="U63" s="105">
        <v>81</v>
      </c>
      <c r="V63" s="105">
        <v>0</v>
      </c>
      <c r="W63" s="104"/>
      <c r="X63" s="104"/>
      <c r="Y63" s="106"/>
      <c r="Z63" s="107">
        <v>0</v>
      </c>
      <c r="AA63" s="105">
        <v>1</v>
      </c>
      <c r="AB63" s="234" t="s">
        <v>1789</v>
      </c>
      <c r="AC63" s="235"/>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"AI 챗봇 기능 연동 개발" &amp; "(레몬헬스케어)" &amp; " " &amp; IF(P63="","",TEXT(P63,"M/D-")) &amp; IF(Q63="","",TEXT(Q63,"M/D")) &amp; " "</f>
        <v xml:space="preserve">AI 챗봇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6" outlineLevel="2">
      <c r="A64" s="102"/>
      <c r="B64" s="102"/>
      <c r="C64" s="102">
        <v>3</v>
      </c>
      <c r="D64" s="118" t="s">
        <v>1714</v>
      </c>
      <c r="E64" s="103"/>
      <c r="F64" s="103"/>
      <c r="G64" s="209" t="s">
        <v>1700</v>
      </c>
      <c r="H64" s="209"/>
      <c r="I64" s="209"/>
      <c r="J64" s="103"/>
      <c r="K64" s="103"/>
      <c r="L64" s="103"/>
      <c r="M64" s="103"/>
      <c r="N64" s="103"/>
      <c r="O64" s="233"/>
      <c r="P64" s="227">
        <v>46237</v>
      </c>
      <c r="Q64" s="227">
        <v>46356</v>
      </c>
      <c r="R64" s="103"/>
      <c r="S64" s="105">
        <v>81</v>
      </c>
      <c r="T64" s="105">
        <v>0</v>
      </c>
      <c r="U64" s="105">
        <v>81</v>
      </c>
      <c r="V64" s="105">
        <v>0</v>
      </c>
      <c r="W64" s="104"/>
      <c r="X64" s="104"/>
      <c r="Y64" s="106"/>
      <c r="Z64" s="107">
        <v>0</v>
      </c>
      <c r="AA64" s="105">
        <v>1</v>
      </c>
      <c r="AB64" s="234" t="s">
        <v>1789</v>
      </c>
      <c r="AC64" s="235"/>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t="str">
        <f>"" &amp; TEXT(AE64,"#0.00%") &amp; " "</f>
        <v xml:space="preserve">0.00% </v>
      </c>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t="str">
        <f>"" &amp; "AR 길찾기 기능 연동 개발" &amp; "(레몬헬스케어)" &amp; " " &amp; IF(P64="","",TEXT(P64,"M/D-")) &amp; IF(Q64="","",TEXT(Q64,"M/D")) &amp; " "</f>
        <v xml:space="preserve">AR 길찾기 기능 연동 개발(레몬헬스케어) 8/3-11/30 </v>
      </c>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ht="16" outlineLevel="2">
      <c r="A65" s="102" t="s">
        <v>1450</v>
      </c>
      <c r="B65" s="102"/>
      <c r="C65" s="102">
        <v>3</v>
      </c>
      <c r="D65" s="118" t="s">
        <v>1715</v>
      </c>
      <c r="E65" s="103"/>
      <c r="F65" s="103"/>
      <c r="G65" s="209" t="s">
        <v>1701</v>
      </c>
      <c r="H65" s="209"/>
      <c r="I65" s="209"/>
      <c r="J65" s="103"/>
      <c r="K65" s="103"/>
      <c r="L65" s="103"/>
      <c r="M65" s="103"/>
      <c r="N65" s="103"/>
      <c r="O65" s="233" t="s">
        <v>1831</v>
      </c>
      <c r="P65" s="227">
        <v>46328</v>
      </c>
      <c r="Q65" s="227">
        <v>46387</v>
      </c>
      <c r="R65" s="103"/>
      <c r="S65" s="105">
        <v>0</v>
      </c>
      <c r="T65" s="105">
        <v>0</v>
      </c>
      <c r="U65" s="105">
        <v>43</v>
      </c>
      <c r="V65" s="105">
        <v>0</v>
      </c>
      <c r="W65" s="104"/>
      <c r="X65" s="104"/>
      <c r="Y65" s="106"/>
      <c r="Z65" s="107">
        <v>0</v>
      </c>
      <c r="AA65" s="105">
        <v>1</v>
      </c>
      <c r="AB65" s="234" t="s">
        <v>1789</v>
      </c>
      <c r="AC65" s="235" t="s">
        <v>1832</v>
      </c>
      <c r="AD65" s="117">
        <v>0</v>
      </c>
      <c r="AE65" s="199">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t="str">
        <f>"    " &amp; TEXT(AE65,"#0.00%") &amp; " " &amp; "개발앱 배포" &amp; "(레몬헬스케어)" &amp; " " &amp; IF(P65="","",TEXT(P65,"M/D-")) &amp; IF(Q65="","",TEXT(Q65,"M/D")) &amp; " "</f>
        <v xml:space="preserve">    0.00% 개발앱 배포(레몬헬스케어) 11/2-12/31 </v>
      </c>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ht="14.5" outlineLevel="1">
      <c r="A66" s="102"/>
      <c r="B66" s="102" t="s">
        <v>1385</v>
      </c>
      <c r="C66" s="102">
        <v>2</v>
      </c>
      <c r="D66" s="118" t="s">
        <v>1716</v>
      </c>
      <c r="E66" s="103"/>
      <c r="F66" s="263" t="s">
        <v>1702</v>
      </c>
      <c r="G66" s="263"/>
      <c r="H66" s="263"/>
      <c r="I66" s="263"/>
      <c r="J66" s="103"/>
      <c r="K66" s="103"/>
      <c r="L66" s="103"/>
      <c r="M66" s="103"/>
      <c r="N66" s="103"/>
      <c r="O66" s="232"/>
      <c r="P66" s="104">
        <v>46237</v>
      </c>
      <c r="Q66" s="104">
        <v>46356</v>
      </c>
      <c r="R66" s="103"/>
      <c r="S66" s="105">
        <v>81</v>
      </c>
      <c r="T66" s="105">
        <v>0</v>
      </c>
      <c r="U66" s="105">
        <v>81</v>
      </c>
      <c r="V66" s="105">
        <v>0</v>
      </c>
      <c r="W66" s="104"/>
      <c r="X66" s="104"/>
      <c r="Y66" s="106">
        <v>0</v>
      </c>
      <c r="Z66" s="107">
        <v>0</v>
      </c>
      <c r="AA66" s="105"/>
      <c r="AB66" s="248" t="s">
        <v>1789</v>
      </c>
      <c r="AC66" s="238"/>
      <c r="AD66" s="117">
        <v>0</v>
      </c>
      <c r="AE66" s="206">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기능 추가 개발" &amp; "(레몬헬스케어)" &amp; " " &amp; IF(P66="","",TEXT(P66,"M/D-")) &amp; IF(Q66="","",TEXT(Q66,"M/D")) &amp; " "</f>
        <v xml:space="preserve">관리자 페이지 기능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ht="23" outlineLevel="2">
      <c r="A67" s="102"/>
      <c r="B67" s="102"/>
      <c r="C67" s="102">
        <v>3</v>
      </c>
      <c r="D67" s="118" t="s">
        <v>1717</v>
      </c>
      <c r="E67" s="103"/>
      <c r="F67" s="103"/>
      <c r="G67" s="209" t="s">
        <v>1680</v>
      </c>
      <c r="H67" s="209"/>
      <c r="I67" s="209"/>
      <c r="J67" s="103"/>
      <c r="K67" s="103"/>
      <c r="L67" s="103"/>
      <c r="M67" s="103"/>
      <c r="N67" s="103"/>
      <c r="O67" s="233" t="s">
        <v>1833</v>
      </c>
      <c r="P67" s="227">
        <v>46237</v>
      </c>
      <c r="Q67" s="227">
        <v>46356</v>
      </c>
      <c r="R67" s="103"/>
      <c r="S67" s="105">
        <v>81</v>
      </c>
      <c r="T67" s="105">
        <v>0</v>
      </c>
      <c r="U67" s="105">
        <v>81</v>
      </c>
      <c r="V67" s="105">
        <v>0</v>
      </c>
      <c r="W67" s="104"/>
      <c r="X67" s="104"/>
      <c r="Y67" s="106"/>
      <c r="Z67" s="107">
        <v>0</v>
      </c>
      <c r="AA67" s="105">
        <v>1</v>
      </c>
      <c r="AB67" s="234" t="s">
        <v>1789</v>
      </c>
      <c r="AC67" s="235" t="s">
        <v>1834</v>
      </c>
      <c r="AD67" s="117">
        <v>0</v>
      </c>
      <c r="AE67" s="199">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"관리자 페이지 메뉴 추가 개발" &amp; "(레몬헬스케어)" &amp; " " &amp; IF(P67="","",TEXT(P67,"M/D-")) &amp; IF(Q67="","",TEXT(Q67,"M/D")) &amp; " "</f>
        <v xml:space="preserve">관리자 페이지 메뉴 추가 개발(레몬헬스케어)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ht="14.5" outlineLevel="1">
      <c r="A68" s="102"/>
      <c r="B68" s="102" t="s">
        <v>1385</v>
      </c>
      <c r="C68" s="102">
        <v>2</v>
      </c>
      <c r="D68" s="118" t="s">
        <v>1718</v>
      </c>
      <c r="E68" s="103"/>
      <c r="F68" s="263" t="s">
        <v>1681</v>
      </c>
      <c r="G68" s="263"/>
      <c r="H68" s="263"/>
      <c r="I68" s="263"/>
      <c r="J68" s="103"/>
      <c r="K68" s="103"/>
      <c r="L68" s="103"/>
      <c r="M68" s="103"/>
      <c r="N68" s="103"/>
      <c r="O68" s="232"/>
      <c r="P68" s="104">
        <v>46237</v>
      </c>
      <c r="Q68" s="104">
        <v>46356</v>
      </c>
      <c r="R68" s="103"/>
      <c r="S68" s="105">
        <v>81</v>
      </c>
      <c r="T68" s="105">
        <v>0</v>
      </c>
      <c r="U68" s="105">
        <v>81</v>
      </c>
      <c r="V68" s="105">
        <v>0</v>
      </c>
      <c r="W68" s="104"/>
      <c r="X68" s="104"/>
      <c r="Y68" s="106">
        <v>0</v>
      </c>
      <c r="Z68" s="107">
        <v>0</v>
      </c>
      <c r="AA68" s="105"/>
      <c r="AB68" s="248" t="s">
        <v>1902</v>
      </c>
      <c r="AC68" s="238"/>
      <c r="AD68" s="117">
        <v>0</v>
      </c>
      <c r="AE68" s="206">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"진료의뢰서 OCR 기능 개발" &amp; "(전남대)" &amp; " " &amp; IF(P68="","",TEXT(P68,"M/D-")) &amp; IF(Q68="","",TEXT(Q68,"M/D")) &amp; " "</f>
        <v xml:space="preserve">진료의뢰서 OCR 기능 개발(전남대)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ht="23" outlineLevel="2">
      <c r="A69" s="102"/>
      <c r="B69" s="102"/>
      <c r="C69" s="102">
        <v>3</v>
      </c>
      <c r="D69" s="118" t="s">
        <v>1719</v>
      </c>
      <c r="E69" s="103"/>
      <c r="F69" s="103"/>
      <c r="G69" s="209" t="s">
        <v>1682</v>
      </c>
      <c r="H69" s="209"/>
      <c r="I69" s="209"/>
      <c r="J69" s="103"/>
      <c r="K69" s="103"/>
      <c r="L69" s="103"/>
      <c r="M69" s="103"/>
      <c r="N69" s="103"/>
      <c r="O69" s="233" t="s">
        <v>1813</v>
      </c>
      <c r="P69" s="227">
        <v>46237</v>
      </c>
      <c r="Q69" s="227">
        <v>46356</v>
      </c>
      <c r="R69" s="103"/>
      <c r="S69" s="105">
        <v>81</v>
      </c>
      <c r="T69" s="105">
        <v>0</v>
      </c>
      <c r="U69" s="105">
        <v>81</v>
      </c>
      <c r="V69" s="105">
        <v>0</v>
      </c>
      <c r="W69" s="104"/>
      <c r="X69" s="104"/>
      <c r="Y69" s="106"/>
      <c r="Z69" s="107">
        <v>0</v>
      </c>
      <c r="AA69" s="105">
        <v>1</v>
      </c>
      <c r="AB69" s="234" t="s">
        <v>1902</v>
      </c>
      <c r="AC69" s="235" t="s">
        <v>1800</v>
      </c>
      <c r="AD69" s="117">
        <v>0</v>
      </c>
      <c r="AE69" s="199">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t="str">
        <f>"" &amp; TEXT(AE69,"#0.00%") &amp; " "</f>
        <v xml:space="preserve">0.00% </v>
      </c>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t="str">
        <f>"" &amp; "OCR 파이프라인 구축" &amp; "(전남대)" &amp; " " &amp; IF(P69="","",TEXT(P69,"M/D-")) &amp; IF(Q69="","",TEXT(Q69,"M/D")) &amp; " "</f>
        <v xml:space="preserve">OCR 파이프라인 구축(전남대) 8/3-11/30 </v>
      </c>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c r="JB69" s="121"/>
    </row>
    <row r="70" spans="1:262" ht="14.5" outlineLevel="1">
      <c r="A70" s="102"/>
      <c r="B70" s="102" t="s">
        <v>1385</v>
      </c>
      <c r="C70" s="102">
        <v>2</v>
      </c>
      <c r="D70" s="118" t="s">
        <v>1720</v>
      </c>
      <c r="E70" s="103"/>
      <c r="F70" s="103" t="s">
        <v>1683</v>
      </c>
      <c r="G70" s="103"/>
      <c r="H70" s="103"/>
      <c r="I70" s="103"/>
      <c r="J70" s="103"/>
      <c r="K70" s="103"/>
      <c r="L70" s="103"/>
      <c r="M70" s="103"/>
      <c r="N70" s="103"/>
      <c r="O70" s="245"/>
      <c r="P70" s="104">
        <v>46286</v>
      </c>
      <c r="Q70" s="104">
        <v>46332</v>
      </c>
      <c r="R70" s="103"/>
      <c r="S70" s="105">
        <v>51</v>
      </c>
      <c r="T70" s="105">
        <v>0</v>
      </c>
      <c r="U70" s="105">
        <v>31</v>
      </c>
      <c r="V70" s="105">
        <v>0</v>
      </c>
      <c r="W70" s="104"/>
      <c r="X70" s="104"/>
      <c r="Y70" s="106">
        <v>0</v>
      </c>
      <c r="Z70" s="107">
        <v>0</v>
      </c>
      <c r="AA70" s="105"/>
      <c r="AB70" s="250" t="s">
        <v>1630</v>
      </c>
      <c r="AC70" s="246"/>
      <c r="AD70" s="117">
        <v>0</v>
      </c>
      <c r="AE70" s="206">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t="str">
        <f>"" &amp; "SDK 자체 검증 (병합 전)" &amp; "(파모즈)" &amp; " " &amp; IF(P70="","",TEXT(P70,"M/D-")) &amp; IF(Q70="","",TEXT(Q70,"M/D")) &amp; " "</f>
        <v xml:space="preserve">SDK 자체 검증 (병합 전)(파모즈) 9/21-11/6 </v>
      </c>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7" outlineLevel="2">
      <c r="A71" s="102"/>
      <c r="B71" s="102"/>
      <c r="C71" s="102">
        <v>3</v>
      </c>
      <c r="D71" s="118" t="s">
        <v>1721</v>
      </c>
      <c r="E71" s="103"/>
      <c r="F71" s="103"/>
      <c r="G71" s="239" t="s">
        <v>1684</v>
      </c>
      <c r="H71" s="240"/>
      <c r="I71" s="240"/>
      <c r="J71" s="103"/>
      <c r="K71" s="103"/>
      <c r="L71" s="103"/>
      <c r="M71" s="103"/>
      <c r="N71" s="103"/>
      <c r="O71" s="252" t="s">
        <v>1814</v>
      </c>
      <c r="P71" s="236">
        <v>46286</v>
      </c>
      <c r="Q71" s="330">
        <v>46332</v>
      </c>
      <c r="R71" s="103"/>
      <c r="S71" s="105">
        <v>31</v>
      </c>
      <c r="T71" s="105">
        <v>0</v>
      </c>
      <c r="U71" s="105">
        <v>31</v>
      </c>
      <c r="V71" s="105">
        <v>0</v>
      </c>
      <c r="W71" s="104"/>
      <c r="X71" s="104"/>
      <c r="Y71" s="106"/>
      <c r="Z71" s="107">
        <v>0</v>
      </c>
      <c r="AA71" s="105">
        <v>1</v>
      </c>
      <c r="AB71" s="319" t="s">
        <v>1630</v>
      </c>
      <c r="AC71" s="237" t="s">
        <v>1801</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t="str">
        <f>"" &amp; TEXT(AE71,"#0.00%") &amp; " "</f>
        <v xml:space="preserve">0.00% </v>
      </c>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t="str">
        <f>"" &amp; "멀티 디바이스 호환성 검증 (iOS/Android 기기군)" &amp; "(파모즈)" &amp; " " &amp; IF(P71="","",TEXT(P71,"M/D-")) &amp; IF(Q71="","",TEXT(Q71,"M/D")) &amp; " "</f>
        <v xml:space="preserve">멀티 디바이스 호환성 검증 (iOS/Android 기기군)(파모즈) 9/21-11/6 </v>
      </c>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c r="IZ71" s="121"/>
      <c r="JA71" s="121"/>
      <c r="JB71" s="121"/>
    </row>
    <row r="72" spans="1:262" ht="17" outlineLevel="2">
      <c r="A72" s="102"/>
      <c r="B72" s="102"/>
      <c r="C72" s="102">
        <v>3</v>
      </c>
      <c r="D72" s="118" t="s">
        <v>1722</v>
      </c>
      <c r="E72" s="103"/>
      <c r="F72" s="103"/>
      <c r="G72" s="239" t="s">
        <v>1685</v>
      </c>
      <c r="H72" s="240"/>
      <c r="I72" s="240"/>
      <c r="J72" s="103"/>
      <c r="K72" s="103"/>
      <c r="L72" s="103"/>
      <c r="M72" s="103"/>
      <c r="N72" s="103"/>
      <c r="O72" s="252" t="s">
        <v>1815</v>
      </c>
      <c r="P72" s="236">
        <v>46307</v>
      </c>
      <c r="Q72" s="330">
        <v>46332</v>
      </c>
      <c r="R72" s="103"/>
      <c r="S72" s="105">
        <v>20</v>
      </c>
      <c r="T72" s="105">
        <v>0</v>
      </c>
      <c r="U72" s="105">
        <v>20</v>
      </c>
      <c r="V72" s="105">
        <v>0</v>
      </c>
      <c r="W72" s="104"/>
      <c r="X72" s="104"/>
      <c r="Y72" s="106"/>
      <c r="Z72" s="107">
        <v>0</v>
      </c>
      <c r="AA72" s="105">
        <v>1</v>
      </c>
      <c r="AB72" s="319" t="s">
        <v>1630</v>
      </c>
      <c r="AC72" s="237" t="s">
        <v>1802</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&amp; TEXT(AE72,"#0.00%") &amp; " "</f>
        <v xml:space="preserve">0.00%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t="str">
        <f>"" &amp; "AR 기능 검증" &amp; "(파모즈)" &amp; " " &amp; IF(P72="","",TEXT(P72,"M/D-")) &amp; IF(Q72="","",TEXT(Q72,"M/D")) &amp; " "</f>
        <v xml:space="preserve">AR 기능 검증(파모즈) 10/12-11/6 </v>
      </c>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ht="17" outlineLevel="2">
      <c r="A73" s="102" t="s">
        <v>1450</v>
      </c>
      <c r="B73" s="102"/>
      <c r="C73" s="102">
        <v>3</v>
      </c>
      <c r="D73" s="118" t="s">
        <v>1723</v>
      </c>
      <c r="E73" s="103"/>
      <c r="F73" s="103"/>
      <c r="G73" s="239" t="s">
        <v>1686</v>
      </c>
      <c r="H73" s="240"/>
      <c r="I73" s="240"/>
      <c r="J73" s="103"/>
      <c r="K73" s="103"/>
      <c r="L73" s="103"/>
      <c r="M73" s="103"/>
      <c r="N73" s="103"/>
      <c r="O73" s="241" t="s">
        <v>1816</v>
      </c>
      <c r="P73" s="236">
        <v>46307</v>
      </c>
      <c r="Q73" s="330">
        <v>46332</v>
      </c>
      <c r="R73" s="103"/>
      <c r="S73" s="105">
        <v>0</v>
      </c>
      <c r="T73" s="105">
        <v>0</v>
      </c>
      <c r="U73" s="105">
        <v>20</v>
      </c>
      <c r="V73" s="105">
        <v>0</v>
      </c>
      <c r="W73" s="104"/>
      <c r="X73" s="104"/>
      <c r="Y73" s="106"/>
      <c r="Z73" s="107">
        <v>0</v>
      </c>
      <c r="AA73" s="105">
        <v>1</v>
      </c>
      <c r="AB73" s="319" t="s">
        <v>1630</v>
      </c>
      <c r="AC73" s="237" t="s">
        <v>1803</v>
      </c>
      <c r="AD73" s="117">
        <v>0</v>
      </c>
      <c r="AE73" s="199">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t="str">
        <f>"    " &amp; TEXT(AE73,"#0.00%") &amp; " " &amp; "SDK 통합 전 자체 QA (회귀·안정성)" &amp; "(파모즈)" &amp; " " &amp; IF(P73="","",TEXT(P73,"M/D-")) &amp; IF(Q73="","",TEXT(Q73,"M/D")) &amp; " "</f>
        <v xml:space="preserve">    0.00% SDK 통합 전 자체 QA (회귀·안정성)(파모즈) 10/12-11/6 </v>
      </c>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c r="JB73" s="121"/>
    </row>
    <row r="74" spans="1:262" ht="14.5">
      <c r="A74" s="102"/>
      <c r="B74" s="102" t="s">
        <v>1385</v>
      </c>
      <c r="C74" s="102">
        <v>1</v>
      </c>
      <c r="D74" s="118" t="s">
        <v>1748</v>
      </c>
      <c r="E74" s="103" t="s">
        <v>1733</v>
      </c>
      <c r="F74" s="103"/>
      <c r="G74" s="103"/>
      <c r="H74" s="103"/>
      <c r="I74" s="103"/>
      <c r="J74" s="103"/>
      <c r="K74" s="103"/>
      <c r="L74" s="103"/>
      <c r="M74" s="103"/>
      <c r="N74" s="103"/>
      <c r="O74" s="242"/>
      <c r="P74" s="104">
        <v>46204</v>
      </c>
      <c r="Q74" s="104">
        <v>46387</v>
      </c>
      <c r="R74" s="103"/>
      <c r="S74" s="105">
        <v>443</v>
      </c>
      <c r="T74" s="105">
        <v>8</v>
      </c>
      <c r="U74" s="105">
        <v>125</v>
      </c>
      <c r="V74" s="105">
        <v>8</v>
      </c>
      <c r="W74" s="104"/>
      <c r="X74" s="104"/>
      <c r="Y74" s="106">
        <v>0</v>
      </c>
      <c r="Z74" s="107">
        <v>0</v>
      </c>
      <c r="AA74" s="105"/>
      <c r="AB74" s="249"/>
      <c r="AC74" s="243"/>
      <c r="AD74" s="117">
        <v>1.8058690744920992E-2</v>
      </c>
      <c r="AE74" s="255">
        <v>1.8060948081264107E-2</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t="str">
        <f>"" &amp; TEXT(AE74,"#0.00%") &amp; " "</f>
        <v xml:space="preserve">1.81% </v>
      </c>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"테스트" &amp; " " &amp; IF(P74="","",TEXT(P74,"M/D-")) &amp; IF(Q74="","",TEXT(Q74,"M/D")) &amp; " "</f>
        <v xml:space="preserve">테스트 7/1-12/31 </v>
      </c>
      <c r="JB74" s="121"/>
    </row>
    <row r="75" spans="1:262" ht="14.5" outlineLevel="1">
      <c r="A75" s="102"/>
      <c r="B75" s="102" t="s">
        <v>1385</v>
      </c>
      <c r="C75" s="102">
        <v>2</v>
      </c>
      <c r="D75" s="118" t="s">
        <v>1749</v>
      </c>
      <c r="E75" s="103"/>
      <c r="F75" s="103" t="s">
        <v>1734</v>
      </c>
      <c r="G75" s="103"/>
      <c r="H75" s="103"/>
      <c r="I75" s="103"/>
      <c r="J75" s="103"/>
      <c r="K75" s="103"/>
      <c r="L75" s="103"/>
      <c r="M75" s="103"/>
      <c r="N75" s="103"/>
      <c r="O75" s="232"/>
      <c r="P75" s="104">
        <v>46204</v>
      </c>
      <c r="Q75" s="104">
        <v>46387</v>
      </c>
      <c r="R75" s="103"/>
      <c r="S75" s="105">
        <v>195</v>
      </c>
      <c r="T75" s="105">
        <v>8</v>
      </c>
      <c r="U75" s="105">
        <v>125</v>
      </c>
      <c r="V75" s="105">
        <v>8</v>
      </c>
      <c r="W75" s="104"/>
      <c r="X75" s="104"/>
      <c r="Y75" s="106">
        <v>0</v>
      </c>
      <c r="Z75" s="107">
        <v>0</v>
      </c>
      <c r="AA75" s="105"/>
      <c r="AB75" s="248" t="s">
        <v>1835</v>
      </c>
      <c r="AC75" s="238"/>
      <c r="AD75" s="117">
        <v>4.1025641025641026E-2</v>
      </c>
      <c r="AE75" s="255">
        <v>4.1030769230769225E-2</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t="str">
        <f>"" &amp; TEXT(AE75,"#0.00%") &amp; " "</f>
        <v xml:space="preserve">4.10% </v>
      </c>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t="str">
        <f>"" &amp; "파일럿 실증" &amp; "(레몬 / 전남대병원)" &amp; " " &amp; IF(P75="","",TEXT(P75,"M/D-")) &amp; IF(Q75="","",TEXT(Q75,"M/D")) &amp; " "</f>
        <v xml:space="preserve">파일럿 실증(레몬 / 전남대병원) 7/1-12/31 </v>
      </c>
      <c r="JB75" s="121"/>
    </row>
    <row r="76" spans="1:262" ht="16" outlineLevel="2">
      <c r="A76" s="102"/>
      <c r="B76" s="102"/>
      <c r="C76" s="102">
        <v>3</v>
      </c>
      <c r="D76" s="118" t="s">
        <v>1750</v>
      </c>
      <c r="E76" s="103"/>
      <c r="F76" s="103"/>
      <c r="G76" s="209" t="s">
        <v>1739</v>
      </c>
      <c r="H76" s="209"/>
      <c r="I76" s="209"/>
      <c r="J76" s="103"/>
      <c r="K76" s="103"/>
      <c r="L76" s="103"/>
      <c r="M76" s="103"/>
      <c r="N76" s="103"/>
      <c r="O76" s="233" t="s">
        <v>1836</v>
      </c>
      <c r="P76" s="227">
        <v>46266</v>
      </c>
      <c r="Q76" s="227">
        <v>46325</v>
      </c>
      <c r="R76" s="103"/>
      <c r="S76" s="105">
        <v>40</v>
      </c>
      <c r="T76" s="105">
        <v>0</v>
      </c>
      <c r="U76" s="105">
        <v>40</v>
      </c>
      <c r="V76" s="105">
        <v>0</v>
      </c>
      <c r="W76" s="104">
        <v>46093</v>
      </c>
      <c r="X76" s="104">
        <v>46111</v>
      </c>
      <c r="Y76" s="106">
        <v>13</v>
      </c>
      <c r="Z76" s="107">
        <v>13</v>
      </c>
      <c r="AA76" s="105">
        <v>1</v>
      </c>
      <c r="AB76" s="234" t="s">
        <v>1789</v>
      </c>
      <c r="AC76" s="235" t="s">
        <v>1837</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t="str">
        <f>"" &amp; TEXT(AE76,"#0.00%") &amp; " "</f>
        <v xml:space="preserve">0.00% </v>
      </c>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t="str">
        <f>"" &amp; "파일럿 실증 인력 모집 (50+)" &amp; "(레몬헬스케어)" &amp; " " &amp; IF(P76="","",TEXT(P76,"M/D-")) &amp; IF(Q76="","",TEXT(Q76,"M/D")) &amp; " "</f>
        <v xml:space="preserve">파일럿 실증 인력 모집 (50+)(레몬헬스케어) 9/1-10/30 </v>
      </c>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23" outlineLevel="2">
      <c r="A77" s="102"/>
      <c r="B77" s="102"/>
      <c r="C77" s="102">
        <v>3</v>
      </c>
      <c r="D77" s="118" t="s">
        <v>1751</v>
      </c>
      <c r="E77" s="103"/>
      <c r="F77" s="103"/>
      <c r="G77" s="209" t="s">
        <v>1740</v>
      </c>
      <c r="H77" s="209"/>
      <c r="I77" s="209"/>
      <c r="J77" s="103"/>
      <c r="K77" s="103"/>
      <c r="L77" s="103"/>
      <c r="M77" s="103"/>
      <c r="N77" s="103"/>
      <c r="O77" s="233"/>
      <c r="P77" s="227">
        <v>46204</v>
      </c>
      <c r="Q77" s="227">
        <v>46265</v>
      </c>
      <c r="R77" s="103"/>
      <c r="S77" s="105">
        <v>42</v>
      </c>
      <c r="T77" s="105">
        <v>8</v>
      </c>
      <c r="U77" s="105">
        <v>42</v>
      </c>
      <c r="V77" s="105">
        <v>8</v>
      </c>
      <c r="W77" s="104"/>
      <c r="X77" s="104"/>
      <c r="Y77" s="106"/>
      <c r="Z77" s="107">
        <v>0</v>
      </c>
      <c r="AA77" s="105">
        <v>1</v>
      </c>
      <c r="AB77" s="234" t="s">
        <v>1789</v>
      </c>
      <c r="AC77" s="235" t="s">
        <v>1838</v>
      </c>
      <c r="AD77" s="117">
        <v>0.19047619047619047</v>
      </c>
      <c r="AE77" s="253">
        <v>0.1905</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t="str">
        <f>"" &amp; TEXT(AE77,"#0.00%") &amp; " "</f>
        <v xml:space="preserve">19.05% </v>
      </c>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"파일럿 실증 테스트 시나리오 작성" &amp; "(레몬헬스케어)" &amp; " " &amp; IF(P77="","",TEXT(P77,"M/D-")) &amp; IF(Q77="","",TEXT(Q77,"M/D")) &amp; " "</f>
        <v xml:space="preserve">파일럿 실증 테스트 시나리오 작성(레몬헬스케어) 7/1-8/31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16" outlineLevel="2">
      <c r="A78" s="102"/>
      <c r="B78" s="102"/>
      <c r="C78" s="102">
        <v>3</v>
      </c>
      <c r="D78" s="118" t="s">
        <v>1752</v>
      </c>
      <c r="E78" s="103"/>
      <c r="F78" s="103"/>
      <c r="G78" s="209" t="s">
        <v>1741</v>
      </c>
      <c r="H78" s="209"/>
      <c r="I78" s="209"/>
      <c r="J78" s="103"/>
      <c r="K78" s="103"/>
      <c r="L78" s="103"/>
      <c r="M78" s="103"/>
      <c r="N78" s="103"/>
      <c r="O78" s="233"/>
      <c r="P78" s="227">
        <v>46266</v>
      </c>
      <c r="Q78" s="227">
        <v>46356</v>
      </c>
      <c r="R78" s="103"/>
      <c r="S78" s="105">
        <v>61</v>
      </c>
      <c r="T78" s="105">
        <v>0</v>
      </c>
      <c r="U78" s="105">
        <v>61</v>
      </c>
      <c r="V78" s="105">
        <v>0</v>
      </c>
      <c r="W78" s="104"/>
      <c r="X78" s="104"/>
      <c r="Y78" s="106"/>
      <c r="Z78" s="107">
        <v>0</v>
      </c>
      <c r="AA78" s="105">
        <v>1</v>
      </c>
      <c r="AB78" s="234" t="s">
        <v>1829</v>
      </c>
      <c r="AC78" s="235"/>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t="str">
        <f>"" &amp; TEXT(AE78,"#0.00%") &amp; " "</f>
        <v xml:space="preserve">0.00% </v>
      </c>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t="str">
        <f>"" &amp; "파일럿 실증 테스트 데이터 생성" &amp; "(전남대병원)" &amp; " " &amp; IF(P78="","",TEXT(P78,"M/D-")) &amp; IF(Q78="","",TEXT(Q78,"M/D")) &amp; " "</f>
        <v xml:space="preserve">파일럿 실증 테스트 데이터 생성(전남대병원) 9/1-11/30 </v>
      </c>
      <c r="HW78" s="121"/>
      <c r="HX78" s="121"/>
      <c r="HY78" s="121"/>
      <c r="HZ78" s="121"/>
      <c r="IA78" s="121"/>
      <c r="IB78" s="121"/>
      <c r="IC78" s="121"/>
      <c r="ID78" s="121"/>
      <c r="IE78" s="121"/>
      <c r="IF78" s="121"/>
      <c r="IG78" s="121"/>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23" outlineLevel="2">
      <c r="A79" s="102"/>
      <c r="B79" s="102"/>
      <c r="C79" s="102">
        <v>3</v>
      </c>
      <c r="D79" s="118" t="s">
        <v>1753</v>
      </c>
      <c r="E79" s="103"/>
      <c r="F79" s="103"/>
      <c r="G79" s="209" t="s">
        <v>1742</v>
      </c>
      <c r="H79" s="209"/>
      <c r="I79" s="209"/>
      <c r="J79" s="103"/>
      <c r="K79" s="103"/>
      <c r="L79" s="103"/>
      <c r="M79" s="103"/>
      <c r="N79" s="103"/>
      <c r="O79" s="233"/>
      <c r="P79" s="227">
        <v>46328</v>
      </c>
      <c r="Q79" s="227">
        <v>46367</v>
      </c>
      <c r="R79" s="103"/>
      <c r="S79" s="105">
        <v>30</v>
      </c>
      <c r="T79" s="105">
        <v>0</v>
      </c>
      <c r="U79" s="105">
        <v>30</v>
      </c>
      <c r="V79" s="105">
        <v>0</v>
      </c>
      <c r="W79" s="104"/>
      <c r="X79" s="104"/>
      <c r="Y79" s="106"/>
      <c r="Z79" s="107">
        <v>0</v>
      </c>
      <c r="AA79" s="105">
        <v>1</v>
      </c>
      <c r="AB79" s="234" t="s">
        <v>1789</v>
      </c>
      <c r="AC79" s="235" t="s">
        <v>1839</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t="str">
        <f>"" &amp; TEXT(AE79,"#0.00%") &amp; " "</f>
        <v xml:space="preserve">0.00% </v>
      </c>
      <c r="GT79" s="121"/>
      <c r="GU79" s="121"/>
      <c r="GV79" s="121"/>
      <c r="GW79" s="121"/>
      <c r="GX79" s="121"/>
      <c r="GY79" s="121"/>
      <c r="GZ79" s="121"/>
      <c r="HA79" s="121"/>
      <c r="HB79" s="121"/>
      <c r="HC79" s="121"/>
      <c r="HD79" s="121"/>
      <c r="HE79" s="121"/>
      <c r="HF79" s="121"/>
      <c r="HG79" s="121"/>
      <c r="HH79" s="121"/>
      <c r="HI79" s="121"/>
      <c r="HJ79" s="121"/>
      <c r="HK79" s="121"/>
      <c r="HL79" s="121"/>
      <c r="HM79" s="121"/>
      <c r="HN79" s="121"/>
      <c r="HO79" s="121"/>
      <c r="HP79" s="121"/>
      <c r="HQ79" s="121"/>
      <c r="HR79" s="121"/>
      <c r="HS79" s="121"/>
      <c r="HT79" s="121"/>
      <c r="HU79" s="121"/>
      <c r="HV79" s="121"/>
      <c r="HW79" s="121"/>
      <c r="HX79" s="121"/>
      <c r="HY79" s="121"/>
      <c r="HZ79" s="121"/>
      <c r="IA79" s="121"/>
      <c r="IB79" s="121"/>
      <c r="IC79" s="121"/>
      <c r="ID79" s="121"/>
      <c r="IE79" s="121"/>
      <c r="IF79" s="121"/>
      <c r="IG79" s="121" t="str">
        <f>"" &amp; "파일럿 실증 테스트 진행" &amp; "(레몬헬스케어)" &amp; " " &amp; IF(P79="","",TEXT(P79,"M/D-")) &amp; IF(Q79="","",TEXT(Q79,"M/D")) &amp; " "</f>
        <v xml:space="preserve">파일럿 실증 테스트 진행(레몬헬스케어) 11/2-12/11 </v>
      </c>
      <c r="IH79" s="121"/>
      <c r="II79" s="121"/>
      <c r="IJ79" s="121"/>
      <c r="IK79" s="121"/>
      <c r="IL79" s="121"/>
      <c r="IM79" s="121"/>
      <c r="IN79" s="121"/>
      <c r="IO79" s="121"/>
      <c r="IP79" s="121"/>
      <c r="IQ79" s="121"/>
      <c r="IR79" s="121"/>
      <c r="IS79" s="121"/>
      <c r="IT79" s="121"/>
      <c r="IU79" s="121"/>
      <c r="IV79" s="121"/>
      <c r="IW79" s="121"/>
      <c r="IX79" s="121"/>
      <c r="IY79" s="121"/>
      <c r="IZ79" s="121"/>
      <c r="JA79" s="121"/>
      <c r="JB79" s="121"/>
    </row>
    <row r="80" spans="1:262" ht="16" outlineLevel="2">
      <c r="A80" s="102"/>
      <c r="B80" s="102"/>
      <c r="C80" s="102">
        <v>3</v>
      </c>
      <c r="D80" s="118" t="s">
        <v>1754</v>
      </c>
      <c r="E80" s="103"/>
      <c r="F80" s="103"/>
      <c r="G80" s="209" t="s">
        <v>1743</v>
      </c>
      <c r="H80" s="209"/>
      <c r="I80" s="209"/>
      <c r="J80" s="103"/>
      <c r="K80" s="103"/>
      <c r="L80" s="103"/>
      <c r="M80" s="103"/>
      <c r="N80" s="103"/>
      <c r="O80" s="233" t="s">
        <v>1836</v>
      </c>
      <c r="P80" s="227">
        <v>46357</v>
      </c>
      <c r="Q80" s="227">
        <v>46387</v>
      </c>
      <c r="R80" s="103"/>
      <c r="S80" s="105">
        <v>22</v>
      </c>
      <c r="T80" s="105">
        <v>0</v>
      </c>
      <c r="U80" s="105">
        <v>22</v>
      </c>
      <c r="V80" s="105">
        <v>0</v>
      </c>
      <c r="W80" s="104">
        <v>46093</v>
      </c>
      <c r="X80" s="104">
        <v>46111</v>
      </c>
      <c r="Y80" s="106">
        <v>13</v>
      </c>
      <c r="Z80" s="107">
        <v>13</v>
      </c>
      <c r="AA80" s="105">
        <v>1</v>
      </c>
      <c r="AB80" s="234" t="s">
        <v>1789</v>
      </c>
      <c r="AC80" s="235" t="s">
        <v>1837</v>
      </c>
      <c r="AD80" s="117">
        <v>0</v>
      </c>
      <c r="AE80" s="199">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t="str">
        <f>"" &amp; TEXT(AE80,"#0.00%") &amp; " "</f>
        <v xml:space="preserve">0.00% </v>
      </c>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"테스트 만족도 조사" &amp; "(레몬헬스케어)" &amp; " " &amp; IF(P80="","",TEXT(P80,"M/D-")) &amp; IF(Q80="","",TEXT(Q80,"M/D")) &amp; " "</f>
        <v xml:space="preserve">테스트 만족도 조사(레몬헬스케어) 12/1-12/31 </v>
      </c>
      <c r="JB80" s="121"/>
    </row>
    <row r="81" spans="1:262" ht="14.5" outlineLevel="1">
      <c r="A81" s="102"/>
      <c r="B81" s="102" t="s">
        <v>1385</v>
      </c>
      <c r="C81" s="102">
        <v>2</v>
      </c>
      <c r="D81" s="118" t="s">
        <v>1755</v>
      </c>
      <c r="E81" s="103"/>
      <c r="F81" s="103" t="s">
        <v>1735</v>
      </c>
      <c r="G81" s="103"/>
      <c r="H81" s="103"/>
      <c r="I81" s="103"/>
      <c r="J81" s="103"/>
      <c r="K81" s="103"/>
      <c r="L81" s="103"/>
      <c r="M81" s="103"/>
      <c r="N81" s="103"/>
      <c r="O81" s="232"/>
      <c r="P81" s="104">
        <v>46328</v>
      </c>
      <c r="Q81" s="104">
        <v>46387</v>
      </c>
      <c r="R81" s="103"/>
      <c r="S81" s="105">
        <v>205</v>
      </c>
      <c r="T81" s="105">
        <v>0</v>
      </c>
      <c r="U81" s="105">
        <v>43</v>
      </c>
      <c r="V81" s="105">
        <v>0</v>
      </c>
      <c r="W81" s="104"/>
      <c r="X81" s="104"/>
      <c r="Y81" s="106">
        <v>0</v>
      </c>
      <c r="Z81" s="107">
        <v>0</v>
      </c>
      <c r="AA81" s="105"/>
      <c r="AB81" s="248" t="s">
        <v>1789</v>
      </c>
      <c r="AC81" s="238"/>
      <c r="AD81" s="117">
        <v>0</v>
      </c>
      <c r="AE81" s="206">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"매뉴얼 작성" &amp; "(레몬헬스케어)" &amp; " " &amp; IF(P81="","",TEXT(P81,"M/D-")) &amp; IF(Q81="","",TEXT(Q81,"M/D")) &amp; " "</f>
        <v xml:space="preserve">매뉴얼 작성(레몬헬스케어) 11/2-12/31 </v>
      </c>
      <c r="JB81" s="121"/>
    </row>
    <row r="82" spans="1:262" ht="16" outlineLevel="2">
      <c r="A82" s="102"/>
      <c r="B82" s="102"/>
      <c r="C82" s="102">
        <v>3</v>
      </c>
      <c r="D82" s="118" t="s">
        <v>1756</v>
      </c>
      <c r="E82" s="103"/>
      <c r="F82" s="103"/>
      <c r="G82" s="209" t="s">
        <v>1744</v>
      </c>
      <c r="H82" s="209"/>
      <c r="I82" s="209"/>
      <c r="J82" s="103"/>
      <c r="K82" s="103"/>
      <c r="L82" s="103"/>
      <c r="M82" s="103"/>
      <c r="N82" s="103"/>
      <c r="O82" s="233"/>
      <c r="P82" s="227">
        <v>46328</v>
      </c>
      <c r="Q82" s="227">
        <v>46387</v>
      </c>
      <c r="R82" s="103"/>
      <c r="S82" s="105">
        <v>43</v>
      </c>
      <c r="T82" s="105">
        <v>0</v>
      </c>
      <c r="U82" s="105">
        <v>43</v>
      </c>
      <c r="V82" s="105">
        <v>0</v>
      </c>
      <c r="W82" s="104">
        <v>46093</v>
      </c>
      <c r="X82" s="104">
        <v>46111</v>
      </c>
      <c r="Y82" s="106">
        <v>13</v>
      </c>
      <c r="Z82" s="107">
        <v>13</v>
      </c>
      <c r="AA82" s="105">
        <v>1</v>
      </c>
      <c r="AB82" s="234" t="s">
        <v>1789</v>
      </c>
      <c r="AC82" s="235" t="s">
        <v>1840</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t="str">
        <f>"" &amp; TEXT(AE82,"#0.00%") &amp; " "</f>
        <v xml:space="preserve">0.00% </v>
      </c>
      <c r="GT82" s="121"/>
      <c r="GU82" s="121"/>
      <c r="GV82" s="121"/>
      <c r="GW82" s="121"/>
      <c r="GX82" s="121"/>
      <c r="GY82" s="121"/>
      <c r="GZ82" s="121"/>
      <c r="HA82" s="121"/>
      <c r="HB82" s="121"/>
      <c r="HC82" s="121"/>
      <c r="HD82" s="121"/>
      <c r="HE82" s="121"/>
      <c r="HF82" s="121"/>
      <c r="HG82" s="121"/>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"환자용앱 신규기능 가이드 작성" &amp; "(레몬헬스케어)" &amp; " " &amp; IF(P82="","",TEXT(P82,"M/D-")) &amp; IF(Q82="","",TEXT(Q82,"M/D")) &amp; " "</f>
        <v xml:space="preserve">환자용앱 신규기능 가이드 작성(레몬헬스케어) 11/2-12/31 </v>
      </c>
      <c r="JB82" s="121"/>
    </row>
    <row r="83" spans="1:262" ht="16" outlineLevel="2">
      <c r="A83" s="102"/>
      <c r="B83" s="102"/>
      <c r="C83" s="102">
        <v>3</v>
      </c>
      <c r="D83" s="118" t="s">
        <v>1757</v>
      </c>
      <c r="E83" s="103"/>
      <c r="F83" s="103"/>
      <c r="G83" s="209" t="s">
        <v>1745</v>
      </c>
      <c r="H83" s="209"/>
      <c r="I83" s="209"/>
      <c r="J83" s="103"/>
      <c r="K83" s="103"/>
      <c r="L83" s="103"/>
      <c r="M83" s="103"/>
      <c r="N83" s="103"/>
      <c r="O83" s="233"/>
      <c r="P83" s="227">
        <v>46342</v>
      </c>
      <c r="Q83" s="227">
        <v>46387</v>
      </c>
      <c r="R83" s="103"/>
      <c r="S83" s="105">
        <v>33</v>
      </c>
      <c r="T83" s="105">
        <v>0</v>
      </c>
      <c r="U83" s="105">
        <v>33</v>
      </c>
      <c r="V83" s="105">
        <v>0</v>
      </c>
      <c r="W83" s="104"/>
      <c r="X83" s="104"/>
      <c r="Y83" s="106"/>
      <c r="Z83" s="107">
        <v>0</v>
      </c>
      <c r="AA83" s="105">
        <v>1</v>
      </c>
      <c r="AB83" s="320" t="s">
        <v>1841</v>
      </c>
      <c r="AC83" s="235" t="s">
        <v>1842</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c r="GT83" s="121"/>
      <c r="GU83" s="121"/>
      <c r="GV83" s="121"/>
      <c r="GW83" s="121"/>
      <c r="GX83" s="121"/>
      <c r="GY83" s="121"/>
      <c r="GZ83" s="121"/>
      <c r="HA83" s="121"/>
      <c r="HB83" s="121"/>
      <c r="HC83" s="121"/>
      <c r="HD83" s="121"/>
      <c r="HE83" s="121"/>
      <c r="HF83" s="121"/>
      <c r="HG83" s="121" t="str">
        <f>"" &amp; TEXT(AE83,"#0.00%") &amp; " "</f>
        <v xml:space="preserve">0.00% </v>
      </c>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"관리자페이지 매뉴얼 작성" &amp; "(레몬/파모즈)" &amp; " " &amp; IF(P83="","",TEXT(P83,"M/D-")) &amp; IF(Q83="","",TEXT(Q83,"M/D")) &amp; " "</f>
        <v xml:space="preserve">관리자페이지 매뉴얼 작성(레몬/파모즈) 11/16-12/31 </v>
      </c>
      <c r="JB83" s="121"/>
    </row>
    <row r="84" spans="1:262" ht="16" outlineLevel="2">
      <c r="A84" s="102"/>
      <c r="B84" s="102"/>
      <c r="C84" s="102">
        <v>3</v>
      </c>
      <c r="D84" s="118" t="s">
        <v>1758</v>
      </c>
      <c r="E84" s="103"/>
      <c r="F84" s="103"/>
      <c r="G84" s="209" t="s">
        <v>1746</v>
      </c>
      <c r="H84" s="209"/>
      <c r="I84" s="209"/>
      <c r="J84" s="103"/>
      <c r="K84" s="103"/>
      <c r="L84" s="103"/>
      <c r="M84" s="103"/>
      <c r="N84" s="103"/>
      <c r="O84" s="233"/>
      <c r="P84" s="227">
        <v>46328</v>
      </c>
      <c r="Q84" s="227">
        <v>46387</v>
      </c>
      <c r="R84" s="103"/>
      <c r="S84" s="105">
        <v>43</v>
      </c>
      <c r="T84" s="105">
        <v>0</v>
      </c>
      <c r="U84" s="105">
        <v>43</v>
      </c>
      <c r="V84" s="105">
        <v>0</v>
      </c>
      <c r="W84" s="104"/>
      <c r="X84" s="104"/>
      <c r="Y84" s="106"/>
      <c r="Z84" s="107">
        <v>0</v>
      </c>
      <c r="AA84" s="105">
        <v>1</v>
      </c>
      <c r="AB84" s="320" t="s">
        <v>1630</v>
      </c>
      <c r="AC84" s="235" t="s">
        <v>1843</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"측위 시스템 운영 매뉴얼 작성" &amp; "(파모즈)" &amp; " " &amp; IF(P84="","",TEXT(P84,"M/D-")) &amp; IF(Q84="","",TEXT(Q84,"M/D")) &amp; " "</f>
        <v xml:space="preserve">측위 시스템 운영 매뉴얼 작성(파모즈) 11/2-12/31 </v>
      </c>
      <c r="JB84" s="121"/>
    </row>
    <row r="85" spans="1:262" ht="34.5" outlineLevel="2">
      <c r="A85" s="102"/>
      <c r="B85" s="102"/>
      <c r="C85" s="102">
        <v>3</v>
      </c>
      <c r="D85" s="118" t="s">
        <v>1759</v>
      </c>
      <c r="E85" s="103"/>
      <c r="F85" s="103"/>
      <c r="G85" s="209" t="s">
        <v>1747</v>
      </c>
      <c r="H85" s="209"/>
      <c r="I85" s="209"/>
      <c r="J85" s="103"/>
      <c r="K85" s="103"/>
      <c r="L85" s="103"/>
      <c r="M85" s="103"/>
      <c r="N85" s="103"/>
      <c r="O85" s="233"/>
      <c r="P85" s="227">
        <v>46328</v>
      </c>
      <c r="Q85" s="227">
        <v>46387</v>
      </c>
      <c r="R85" s="103"/>
      <c r="S85" s="105">
        <v>43</v>
      </c>
      <c r="T85" s="105">
        <v>0</v>
      </c>
      <c r="U85" s="105">
        <v>43</v>
      </c>
      <c r="V85" s="105">
        <v>0</v>
      </c>
      <c r="W85" s="104"/>
      <c r="X85" s="104"/>
      <c r="Y85" s="106"/>
      <c r="Z85" s="107">
        <v>0</v>
      </c>
      <c r="AA85" s="105">
        <v>1</v>
      </c>
      <c r="AB85" s="320" t="s">
        <v>1903</v>
      </c>
      <c r="AC85" s="235" t="s">
        <v>1844</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"서비스 운영 매뉴얼 작성" &amp; "(파모즈/전남대)" &amp; " " &amp; IF(P85="","",TEXT(P85,"M/D-")) &amp; IF(Q85="","",TEXT(Q85,"M/D")) &amp; " "</f>
        <v xml:space="preserve">서비스 운영 매뉴얼 작성(파모즈/전남대) 11/2-12/31 </v>
      </c>
      <c r="JB85" s="121"/>
    </row>
    <row r="86" spans="1:262" ht="16" outlineLevel="2">
      <c r="A86" s="102"/>
      <c r="B86" s="102"/>
      <c r="C86" s="102">
        <v>3</v>
      </c>
      <c r="D86" s="118" t="s">
        <v>1760</v>
      </c>
      <c r="E86" s="103"/>
      <c r="F86" s="103"/>
      <c r="G86" s="209" t="s">
        <v>1736</v>
      </c>
      <c r="H86" s="209"/>
      <c r="I86" s="209"/>
      <c r="J86" s="103"/>
      <c r="K86" s="103"/>
      <c r="L86" s="103"/>
      <c r="M86" s="103"/>
      <c r="N86" s="103"/>
      <c r="O86" s="233" t="s">
        <v>1817</v>
      </c>
      <c r="P86" s="227">
        <v>46328</v>
      </c>
      <c r="Q86" s="227">
        <v>46387</v>
      </c>
      <c r="R86" s="103"/>
      <c r="S86" s="105">
        <v>43</v>
      </c>
      <c r="T86" s="105">
        <v>0</v>
      </c>
      <c r="U86" s="105">
        <v>43</v>
      </c>
      <c r="V86" s="105">
        <v>0</v>
      </c>
      <c r="W86" s="104">
        <v>46093</v>
      </c>
      <c r="X86" s="104">
        <v>46111</v>
      </c>
      <c r="Y86" s="106">
        <v>13</v>
      </c>
      <c r="Z86" s="107">
        <v>13</v>
      </c>
      <c r="AA86" s="105">
        <v>1</v>
      </c>
      <c r="AB86" s="234" t="s">
        <v>1902</v>
      </c>
      <c r="AC86" s="235" t="s">
        <v>1804</v>
      </c>
      <c r="AD86" s="117">
        <v>0</v>
      </c>
      <c r="AE86" s="199">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"AI 시스템 운영 매뉴얼 작성" &amp; "(전남대)" &amp; " " &amp; IF(P86="","",TEXT(P86,"M/D-")) &amp; IF(Q86="","",TEXT(Q86,"M/D")) &amp; " "</f>
        <v xml:space="preserve">AI 시스템 운영 매뉴얼 작성(전남대) 11/2-12/31 </v>
      </c>
      <c r="JB86" s="121"/>
    </row>
    <row r="87" spans="1:262" ht="14.5" outlineLevel="1">
      <c r="A87" s="102"/>
      <c r="B87" s="102" t="s">
        <v>1385</v>
      </c>
      <c r="C87" s="102">
        <v>2</v>
      </c>
      <c r="D87" s="118" t="s">
        <v>1761</v>
      </c>
      <c r="E87" s="103"/>
      <c r="F87" s="103" t="s">
        <v>1737</v>
      </c>
      <c r="G87" s="103"/>
      <c r="H87" s="103"/>
      <c r="I87" s="103"/>
      <c r="J87" s="103"/>
      <c r="K87" s="103"/>
      <c r="L87" s="103"/>
      <c r="M87" s="103"/>
      <c r="N87" s="103"/>
      <c r="O87" s="245"/>
      <c r="P87" s="104">
        <v>46328</v>
      </c>
      <c r="Q87" s="104">
        <v>46387</v>
      </c>
      <c r="R87" s="103"/>
      <c r="S87" s="105">
        <v>43</v>
      </c>
      <c r="T87" s="105">
        <v>0</v>
      </c>
      <c r="U87" s="105">
        <v>43</v>
      </c>
      <c r="V87" s="105">
        <v>0</v>
      </c>
      <c r="W87" s="104"/>
      <c r="X87" s="104"/>
      <c r="Y87" s="106">
        <v>0</v>
      </c>
      <c r="Z87" s="107">
        <v>0</v>
      </c>
      <c r="AA87" s="105"/>
      <c r="AB87" s="250" t="s">
        <v>1630</v>
      </c>
      <c r="AC87" s="246"/>
      <c r="AD87" s="117">
        <v>0</v>
      </c>
      <c r="AE87" s="206">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"실증 피드백 반영·개선" &amp; "(파모즈)" &amp; " " &amp; IF(P87="","",TEXT(P87,"M/D-")) &amp; IF(Q87="","",TEXT(Q87,"M/D")) &amp; " "</f>
        <v xml:space="preserve">실증 피드백 반영·개선(파모즈) 11/2-12/31 </v>
      </c>
      <c r="JB87" s="121"/>
    </row>
    <row r="88" spans="1:262" ht="16" outlineLevel="2">
      <c r="A88" s="102"/>
      <c r="B88" s="102"/>
      <c r="C88" s="102">
        <v>3</v>
      </c>
      <c r="D88" s="118" t="s">
        <v>1762</v>
      </c>
      <c r="E88" s="103"/>
      <c r="F88" s="103"/>
      <c r="G88" s="209" t="s">
        <v>1738</v>
      </c>
      <c r="H88" s="209"/>
      <c r="I88" s="209"/>
      <c r="J88" s="103"/>
      <c r="K88" s="103"/>
      <c r="L88" s="103"/>
      <c r="M88" s="103"/>
      <c r="N88" s="103"/>
      <c r="O88" s="322" t="s">
        <v>1818</v>
      </c>
      <c r="P88" s="236">
        <v>46328</v>
      </c>
      <c r="Q88" s="321">
        <v>46387</v>
      </c>
      <c r="R88" s="103"/>
      <c r="S88" s="105">
        <v>43</v>
      </c>
      <c r="T88" s="105">
        <v>0</v>
      </c>
      <c r="U88" s="105">
        <v>43</v>
      </c>
      <c r="V88" s="105">
        <v>0</v>
      </c>
      <c r="W88" s="104"/>
      <c r="X88" s="104"/>
      <c r="Y88" s="106"/>
      <c r="Z88" s="107">
        <v>0</v>
      </c>
      <c r="AA88" s="105">
        <v>1</v>
      </c>
      <c r="AB88" s="319" t="s">
        <v>1630</v>
      </c>
      <c r="AC88" s="237" t="s">
        <v>1805</v>
      </c>
      <c r="AD88" s="117">
        <v>0</v>
      </c>
      <c r="AE88" s="199">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t="str">
        <f>"" &amp; TEXT(AE88,"#0.00%") &amp; " "</f>
        <v xml:space="preserve">0.00% </v>
      </c>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"측위·SDK 실증 피드백 개선·튜닝" &amp; "(파모즈)" &amp; " " &amp; IF(P88="","",TEXT(P88,"M/D-")) &amp; IF(Q88="","",TEXT(Q88,"M/D")) &amp; " "</f>
        <v xml:space="preserve">측위·SDK 실증 피드백 개선·튜닝(파모즈) 11/2-12/31 </v>
      </c>
      <c r="JB88" s="121"/>
    </row>
    <row r="89" spans="1:262" ht="14.5">
      <c r="A89" s="102"/>
      <c r="B89" s="102" t="s">
        <v>1385</v>
      </c>
      <c r="C89" s="102">
        <v>1</v>
      </c>
      <c r="D89" s="118" t="s">
        <v>1776</v>
      </c>
      <c r="E89" s="103" t="s">
        <v>1763</v>
      </c>
      <c r="F89" s="103"/>
      <c r="G89" s="103"/>
      <c r="H89" s="103"/>
      <c r="I89" s="103"/>
      <c r="J89" s="103"/>
      <c r="K89" s="103"/>
      <c r="L89" s="103"/>
      <c r="M89" s="103"/>
      <c r="N89" s="103"/>
      <c r="O89" s="242"/>
      <c r="P89" s="104">
        <v>46195</v>
      </c>
      <c r="Q89" s="104">
        <v>46387</v>
      </c>
      <c r="R89" s="103"/>
      <c r="S89" s="105">
        <v>340</v>
      </c>
      <c r="T89" s="105">
        <v>15</v>
      </c>
      <c r="U89" s="105">
        <v>132</v>
      </c>
      <c r="V89" s="105">
        <v>15</v>
      </c>
      <c r="W89" s="104"/>
      <c r="X89" s="104"/>
      <c r="Y89" s="106">
        <v>0</v>
      </c>
      <c r="Z89" s="107">
        <v>0</v>
      </c>
      <c r="AA89" s="105"/>
      <c r="AB89" s="249"/>
      <c r="AC89" s="243"/>
      <c r="AD89" s="117">
        <v>4.4117647058823532E-2</v>
      </c>
      <c r="AE89" s="255">
        <v>8.5294117647058826E-2</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t="str">
        <f>"" &amp; TEXT(AE89,"#0.00%") &amp; " "</f>
        <v xml:space="preserve">8.53% </v>
      </c>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t="str">
        <f>"" &amp; "홍보 및 특허출원" &amp; " " &amp; IF(P89="","",TEXT(P89,"M/D-")) &amp; IF(Q89="","",TEXT(Q89,"M/D")) &amp; " "</f>
        <v xml:space="preserve">홍보 및 특허출원 6/22-12/31 </v>
      </c>
      <c r="JB89" s="121"/>
    </row>
    <row r="90" spans="1:262" ht="14.5" outlineLevel="1">
      <c r="A90" s="102"/>
      <c r="B90" s="102" t="s">
        <v>1385</v>
      </c>
      <c r="C90" s="102">
        <v>2</v>
      </c>
      <c r="D90" s="118" t="s">
        <v>1777</v>
      </c>
      <c r="E90" s="103"/>
      <c r="F90" s="103" t="s">
        <v>1764</v>
      </c>
      <c r="G90" s="103"/>
      <c r="H90" s="103"/>
      <c r="I90" s="103"/>
      <c r="J90" s="103"/>
      <c r="K90" s="103"/>
      <c r="L90" s="103"/>
      <c r="M90" s="103"/>
      <c r="N90" s="103"/>
      <c r="O90" s="232"/>
      <c r="P90" s="104">
        <v>46195</v>
      </c>
      <c r="Q90" s="104">
        <v>46280</v>
      </c>
      <c r="R90" s="103"/>
      <c r="S90" s="105">
        <v>60</v>
      </c>
      <c r="T90" s="105">
        <v>15</v>
      </c>
      <c r="U90" s="105">
        <v>60</v>
      </c>
      <c r="V90" s="105">
        <v>15</v>
      </c>
      <c r="W90" s="104"/>
      <c r="X90" s="104"/>
      <c r="Y90" s="106">
        <v>0</v>
      </c>
      <c r="Z90" s="107">
        <v>0</v>
      </c>
      <c r="AA90" s="105"/>
      <c r="AB90" s="248" t="s">
        <v>1639</v>
      </c>
      <c r="AC90" s="238"/>
      <c r="AD90" s="117">
        <v>0.25</v>
      </c>
      <c r="AE90" s="255">
        <v>0.48333333333333334</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t="str">
        <f>"" &amp; TEXT(AE90,"#0.00%") &amp; " "</f>
        <v xml:space="preserve">48.33% </v>
      </c>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t="str">
        <f>"" &amp; "보도자료 산출" &amp; "(컨소 전체)" &amp; " " &amp; IF(P90="","",TEXT(P90,"M/D-")) &amp; IF(Q90="","",TEXT(Q90,"M/D")) &amp; " "</f>
        <v xml:space="preserve">보도자료 산출(컨소 전체) 6/22-9/15 </v>
      </c>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6" outlineLevel="2">
      <c r="A91" s="102"/>
      <c r="B91" s="102"/>
      <c r="C91" s="102">
        <v>3</v>
      </c>
      <c r="D91" s="118" t="s">
        <v>1778</v>
      </c>
      <c r="E91" s="103"/>
      <c r="F91" s="103"/>
      <c r="G91" s="209" t="s">
        <v>1773</v>
      </c>
      <c r="H91" s="209"/>
      <c r="I91" s="209"/>
      <c r="J91" s="103"/>
      <c r="K91" s="103"/>
      <c r="L91" s="103"/>
      <c r="M91" s="103"/>
      <c r="N91" s="103"/>
      <c r="O91" s="233"/>
      <c r="P91" s="227">
        <v>46195</v>
      </c>
      <c r="Q91" s="227">
        <v>46234</v>
      </c>
      <c r="R91" s="103"/>
      <c r="S91" s="105">
        <v>29</v>
      </c>
      <c r="T91" s="105">
        <v>15</v>
      </c>
      <c r="U91" s="105">
        <v>29</v>
      </c>
      <c r="V91" s="105">
        <v>15</v>
      </c>
      <c r="W91" s="104">
        <v>46093</v>
      </c>
      <c r="X91" s="104">
        <v>46111</v>
      </c>
      <c r="Y91" s="106">
        <v>13</v>
      </c>
      <c r="Z91" s="107">
        <v>13</v>
      </c>
      <c r="AA91" s="105">
        <v>1</v>
      </c>
      <c r="AB91" s="231" t="s">
        <v>1905</v>
      </c>
      <c r="AC91" s="258" t="s">
        <v>1846</v>
      </c>
      <c r="AD91" s="117">
        <v>0.51724137931034486</v>
      </c>
      <c r="AE91" s="253">
        <v>1</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t="str">
        <f>"" &amp; TEXT(AE91,"#0.00%") &amp; " " &amp; "1차 보도자료" &amp; "(전남대학교병원)" &amp; " " &amp; IF(P91="","",TEXT(P91,"M/D-")) &amp; IF(Q91="","",TEXT(Q91,"M/D")) &amp; " "</f>
        <v xml:space="preserve">100.00% 1차 보도자료(전남대학교병원) 6/22-7/31 </v>
      </c>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ht="16" outlineLevel="2">
      <c r="A92" s="102"/>
      <c r="B92" s="102"/>
      <c r="C92" s="102">
        <v>3</v>
      </c>
      <c r="D92" s="118" t="s">
        <v>1779</v>
      </c>
      <c r="E92" s="103"/>
      <c r="F92" s="103"/>
      <c r="G92" s="209" t="s">
        <v>1765</v>
      </c>
      <c r="H92" s="209"/>
      <c r="I92" s="209"/>
      <c r="J92" s="103"/>
      <c r="K92" s="103"/>
      <c r="L92" s="103"/>
      <c r="M92" s="103"/>
      <c r="N92" s="103"/>
      <c r="O92" s="233"/>
      <c r="P92" s="227">
        <v>46237</v>
      </c>
      <c r="Q92" s="227">
        <v>46280</v>
      </c>
      <c r="R92" s="103"/>
      <c r="S92" s="105">
        <v>31</v>
      </c>
      <c r="T92" s="105">
        <v>0</v>
      </c>
      <c r="U92" s="105">
        <v>31</v>
      </c>
      <c r="V92" s="105">
        <v>0</v>
      </c>
      <c r="W92" s="104">
        <v>46093</v>
      </c>
      <c r="X92" s="104">
        <v>46111</v>
      </c>
      <c r="Y92" s="106">
        <v>13</v>
      </c>
      <c r="Z92" s="107">
        <v>13</v>
      </c>
      <c r="AA92" s="105">
        <v>1</v>
      </c>
      <c r="AB92" s="231" t="s">
        <v>1845</v>
      </c>
      <c r="AC92" s="235" t="s">
        <v>1846</v>
      </c>
      <c r="AD92" s="117">
        <v>0</v>
      </c>
      <c r="AE92" s="199">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t="str">
        <f>"" &amp; TEXT(AE92,"#0.00%") &amp; " "</f>
        <v xml:space="preserve">0.00% </v>
      </c>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t="str">
        <f>"" &amp; "2차 보도자료" &amp; "(해당 컨소)" &amp; " " &amp; IF(P92="","",TEXT(P92,"M/D-")) &amp; IF(Q92="","",TEXT(Q92,"M/D")) &amp; " "</f>
        <v xml:space="preserve">2차 보도자료(해당 컨소) 8/3-9/15 </v>
      </c>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ht="14.5" outlineLevel="1">
      <c r="A93" s="102"/>
      <c r="B93" s="102" t="s">
        <v>1385</v>
      </c>
      <c r="C93" s="102">
        <v>2</v>
      </c>
      <c r="D93" s="118" t="s">
        <v>1780</v>
      </c>
      <c r="E93" s="103"/>
      <c r="F93" s="103" t="s">
        <v>1766</v>
      </c>
      <c r="G93" s="103"/>
      <c r="H93" s="103"/>
      <c r="I93" s="103"/>
      <c r="J93" s="103"/>
      <c r="K93" s="103"/>
      <c r="L93" s="103"/>
      <c r="M93" s="103"/>
      <c r="N93" s="103"/>
      <c r="O93" s="232"/>
      <c r="P93" s="104">
        <v>46328</v>
      </c>
      <c r="Q93" s="104">
        <v>46387</v>
      </c>
      <c r="R93" s="103"/>
      <c r="S93" s="105">
        <v>52</v>
      </c>
      <c r="T93" s="105">
        <v>0</v>
      </c>
      <c r="U93" s="105">
        <v>43</v>
      </c>
      <c r="V93" s="105">
        <v>0</v>
      </c>
      <c r="W93" s="104"/>
      <c r="X93" s="104"/>
      <c r="Y93" s="106">
        <v>0</v>
      </c>
      <c r="Z93" s="107">
        <v>0</v>
      </c>
      <c r="AA93" s="105"/>
      <c r="AB93" s="248" t="s">
        <v>1639</v>
      </c>
      <c r="AC93" s="238"/>
      <c r="AD93" s="117">
        <v>0</v>
      </c>
      <c r="AE93" s="206">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c r="IH93" s="121"/>
      <c r="II93" s="121"/>
      <c r="IJ93" s="121"/>
      <c r="IK93" s="121"/>
      <c r="IL93" s="121"/>
      <c r="IM93" s="121"/>
      <c r="IN93" s="121"/>
      <c r="IO93" s="121"/>
      <c r="IP93" s="121"/>
      <c r="IQ93" s="121"/>
      <c r="IR93" s="121"/>
      <c r="IS93" s="121"/>
      <c r="IT93" s="121"/>
      <c r="IU93" s="121"/>
      <c r="IV93" s="121"/>
      <c r="IW93" s="121"/>
      <c r="IX93" s="121"/>
      <c r="IY93" s="121"/>
      <c r="IZ93" s="121"/>
      <c r="JA93" s="121" t="str">
        <f>"" &amp; "홍보 진행" &amp; "(컨소 전체)" &amp; " " &amp; IF(P93="","",TEXT(P93,"M/D-")) &amp; IF(Q93="","",TEXT(Q93,"M/D")) &amp; " "</f>
        <v xml:space="preserve">홍보 진행(컨소 전체) 11/2-12/31 </v>
      </c>
      <c r="JB93" s="121"/>
    </row>
    <row r="94" spans="1:262" ht="16" outlineLevel="2">
      <c r="A94" s="102"/>
      <c r="B94" s="102"/>
      <c r="C94" s="102">
        <v>3</v>
      </c>
      <c r="D94" s="118" t="s">
        <v>1781</v>
      </c>
      <c r="E94" s="103"/>
      <c r="F94" s="103"/>
      <c r="G94" s="103" t="s">
        <v>1767</v>
      </c>
      <c r="H94" s="103"/>
      <c r="I94" s="103"/>
      <c r="J94" s="103"/>
      <c r="K94" s="103"/>
      <c r="L94" s="103"/>
      <c r="M94" s="103"/>
      <c r="N94" s="103"/>
      <c r="O94" s="233" t="s">
        <v>1836</v>
      </c>
      <c r="P94" s="227">
        <v>46328</v>
      </c>
      <c r="Q94" s="227">
        <v>46367</v>
      </c>
      <c r="R94" s="103"/>
      <c r="S94" s="105">
        <v>30</v>
      </c>
      <c r="T94" s="105">
        <v>0</v>
      </c>
      <c r="U94" s="105">
        <v>30</v>
      </c>
      <c r="V94" s="105">
        <v>0</v>
      </c>
      <c r="W94" s="104">
        <v>46093</v>
      </c>
      <c r="X94" s="104">
        <v>46111</v>
      </c>
      <c r="Y94" s="106">
        <v>13</v>
      </c>
      <c r="Z94" s="107">
        <v>13</v>
      </c>
      <c r="AA94" s="105">
        <v>1</v>
      </c>
      <c r="AB94" s="231" t="s">
        <v>1847</v>
      </c>
      <c r="AC94" s="235" t="s">
        <v>1837</v>
      </c>
      <c r="AD94" s="117">
        <v>0</v>
      </c>
      <c r="AE94" s="199">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t="str">
        <f>"" &amp; TEXT(AE94,"#0.00%") &amp; " "</f>
        <v xml:space="preserve">0.00% </v>
      </c>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t="str">
        <f>"" &amp; "병원 홍보부스 운영" &amp; "(레몬/병원)" &amp; " " &amp; IF(P94="","",TEXT(P94,"M/D-")) &amp; IF(Q94="","",TEXT(Q94,"M/D")) &amp; " "</f>
        <v xml:space="preserve">병원 홍보부스 운영(레몬/병원) 11/2-12/11 </v>
      </c>
      <c r="IH94" s="121"/>
      <c r="II94" s="121"/>
      <c r="IJ94" s="121"/>
      <c r="IK94" s="121"/>
      <c r="IL94" s="121"/>
      <c r="IM94" s="121"/>
      <c r="IN94" s="121"/>
      <c r="IO94" s="121"/>
      <c r="IP94" s="121"/>
      <c r="IQ94" s="121"/>
      <c r="IR94" s="121"/>
      <c r="IS94" s="121"/>
      <c r="IT94" s="121"/>
      <c r="IU94" s="121"/>
      <c r="IV94" s="121"/>
      <c r="IW94" s="121"/>
      <c r="IX94" s="121"/>
      <c r="IY94" s="121"/>
      <c r="IZ94" s="121"/>
      <c r="JA94" s="121"/>
      <c r="JB94" s="121"/>
    </row>
    <row r="95" spans="1:262" ht="16" outlineLevel="2">
      <c r="A95" s="102"/>
      <c r="B95" s="102"/>
      <c r="C95" s="102">
        <v>3</v>
      </c>
      <c r="D95" s="118" t="s">
        <v>1891</v>
      </c>
      <c r="E95" s="103"/>
      <c r="F95" s="103"/>
      <c r="G95" s="103" t="s">
        <v>1893</v>
      </c>
      <c r="H95" s="103"/>
      <c r="I95" s="103"/>
      <c r="J95" s="103"/>
      <c r="K95" s="103"/>
      <c r="L95" s="103"/>
      <c r="M95" s="103"/>
      <c r="N95" s="103"/>
      <c r="O95" s="233"/>
      <c r="P95" s="227">
        <v>46357</v>
      </c>
      <c r="Q95" s="227">
        <v>46387</v>
      </c>
      <c r="R95" s="103"/>
      <c r="S95" s="105">
        <v>22</v>
      </c>
      <c r="T95" s="105">
        <v>0</v>
      </c>
      <c r="U95" s="105">
        <v>22</v>
      </c>
      <c r="V95" s="105">
        <v>0</v>
      </c>
      <c r="W95" s="104">
        <v>46093</v>
      </c>
      <c r="X95" s="104">
        <v>46111</v>
      </c>
      <c r="Y95" s="106">
        <v>13</v>
      </c>
      <c r="Z95" s="107">
        <v>13</v>
      </c>
      <c r="AA95" s="105">
        <v>1</v>
      </c>
      <c r="AB95" s="231" t="s">
        <v>1639</v>
      </c>
      <c r="AC95" s="235" t="s">
        <v>1892</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t="str">
        <f>"" &amp; TEXT(AE95,"#0.00%") &amp; " "</f>
        <v xml:space="preserve">0.00% </v>
      </c>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"컨셉영상 제작" &amp; "(컨소 전체)" &amp; " " &amp; IF(P95="","",TEXT(P95,"M/D-")) &amp; IF(Q95="","",TEXT(Q95,"M/D")) &amp; " "</f>
        <v xml:space="preserve">컨셉영상 제작(컨소 전체) 12/1-12/31 </v>
      </c>
      <c r="JB95" s="121"/>
    </row>
    <row r="96" spans="1:262" ht="14.5" outlineLevel="1">
      <c r="A96" s="102"/>
      <c r="B96" s="102" t="s">
        <v>1385</v>
      </c>
      <c r="C96" s="102">
        <v>2</v>
      </c>
      <c r="D96" s="118" t="s">
        <v>1782</v>
      </c>
      <c r="E96" s="103"/>
      <c r="F96" s="103" t="s">
        <v>1768</v>
      </c>
      <c r="G96" s="103"/>
      <c r="H96" s="103"/>
      <c r="I96" s="103"/>
      <c r="J96" s="103"/>
      <c r="K96" s="103"/>
      <c r="L96" s="103"/>
      <c r="M96" s="103"/>
      <c r="N96" s="103"/>
      <c r="O96" s="232"/>
      <c r="P96" s="104">
        <v>46296</v>
      </c>
      <c r="Q96" s="104">
        <v>46387</v>
      </c>
      <c r="R96" s="103"/>
      <c r="S96" s="105">
        <v>126</v>
      </c>
      <c r="T96" s="105">
        <v>0</v>
      </c>
      <c r="U96" s="105">
        <v>63</v>
      </c>
      <c r="V96" s="105">
        <v>0</v>
      </c>
      <c r="W96" s="104"/>
      <c r="X96" s="104"/>
      <c r="Y96" s="106">
        <v>0</v>
      </c>
      <c r="Z96" s="107">
        <v>0</v>
      </c>
      <c r="AA96" s="105"/>
      <c r="AB96" s="228" t="s">
        <v>1903</v>
      </c>
      <c r="AC96" s="238"/>
      <c r="AD96" s="117">
        <v>0</v>
      </c>
      <c r="AE96" s="206">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"특허 및 SW저작권" &amp; "(파모즈/전남대)" &amp; " " &amp; IF(P96="","",TEXT(P96,"M/D-")) &amp; IF(Q96="","",TEXT(Q96,"M/D")) &amp; " "</f>
        <v xml:space="preserve">특허 및 SW저작권(파모즈/전남대) 10/1-12/31 </v>
      </c>
      <c r="JB96" s="121"/>
    </row>
    <row r="97" spans="1:262" ht="16" outlineLevel="2">
      <c r="A97" s="102"/>
      <c r="B97" s="102"/>
      <c r="C97" s="102">
        <v>3</v>
      </c>
      <c r="D97" s="118" t="s">
        <v>1783</v>
      </c>
      <c r="E97" s="103"/>
      <c r="F97" s="103"/>
      <c r="G97" s="229" t="s">
        <v>1774</v>
      </c>
      <c r="H97" s="229"/>
      <c r="I97" s="229"/>
      <c r="J97" s="103"/>
      <c r="K97" s="103"/>
      <c r="L97" s="103"/>
      <c r="M97" s="103"/>
      <c r="N97" s="103"/>
      <c r="O97" s="233"/>
      <c r="P97" s="227">
        <v>46296</v>
      </c>
      <c r="Q97" s="227">
        <v>46387</v>
      </c>
      <c r="R97" s="103"/>
      <c r="S97" s="105">
        <v>63</v>
      </c>
      <c r="T97" s="105">
        <v>0</v>
      </c>
      <c r="U97" s="105">
        <v>63</v>
      </c>
      <c r="V97" s="105">
        <v>0</v>
      </c>
      <c r="W97" s="104"/>
      <c r="X97" s="104"/>
      <c r="Y97" s="106"/>
      <c r="Z97" s="107">
        <v>0</v>
      </c>
      <c r="AA97" s="105">
        <v>1</v>
      </c>
      <c r="AB97" s="320" t="s">
        <v>1903</v>
      </c>
      <c r="AC97" s="235" t="s">
        <v>1848</v>
      </c>
      <c r="AD97" s="117">
        <v>0</v>
      </c>
      <c r="AE97" s="199">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t="str">
        <f>"" &amp; TEXT(AE97,"#0.00%") &amp; " "</f>
        <v xml:space="preserve">0.00% </v>
      </c>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t="str">
        <f>"" &amp; "특허 출원" &amp; "(파모즈/전남대)" &amp; " " &amp; IF(P97="","",TEXT(P97,"M/D-")) &amp; IF(Q97="","",TEXT(Q97,"M/D")) &amp; " "</f>
        <v xml:space="preserve">특허 출원(파모즈/전남대) 10/1-12/31 </v>
      </c>
      <c r="JB97" s="121"/>
    </row>
    <row r="98" spans="1:262" ht="16" outlineLevel="2">
      <c r="A98" s="102"/>
      <c r="B98" s="102"/>
      <c r="C98" s="102">
        <v>3</v>
      </c>
      <c r="D98" s="118" t="s">
        <v>1784</v>
      </c>
      <c r="E98" s="103"/>
      <c r="F98" s="103"/>
      <c r="G98" s="229" t="s">
        <v>1775</v>
      </c>
      <c r="H98" s="229"/>
      <c r="I98" s="229"/>
      <c r="J98" s="103"/>
      <c r="K98" s="103"/>
      <c r="L98" s="103"/>
      <c r="M98" s="103"/>
      <c r="N98" s="103"/>
      <c r="O98" s="233"/>
      <c r="P98" s="227">
        <v>46296</v>
      </c>
      <c r="Q98" s="227">
        <v>46387</v>
      </c>
      <c r="R98" s="103"/>
      <c r="S98" s="105">
        <v>63</v>
      </c>
      <c r="T98" s="105">
        <v>0</v>
      </c>
      <c r="U98" s="105">
        <v>63</v>
      </c>
      <c r="V98" s="105">
        <v>0</v>
      </c>
      <c r="W98" s="104"/>
      <c r="X98" s="104"/>
      <c r="Y98" s="106"/>
      <c r="Z98" s="107">
        <v>0</v>
      </c>
      <c r="AA98" s="105">
        <v>1</v>
      </c>
      <c r="AB98" s="320" t="s">
        <v>1903</v>
      </c>
      <c r="AC98" s="235" t="s">
        <v>1849</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t="str">
        <f>"" &amp; TEXT(AE98,"#0.00%") &amp; " "</f>
        <v xml:space="preserve">0.00% </v>
      </c>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t="str">
        <f>"" &amp; "SW저작권 등록" &amp; "(파모즈/전남대)" &amp; " " &amp; IF(P98="","",TEXT(P98,"M/D-")) &amp; IF(Q98="","",TEXT(Q98,"M/D")) &amp; " "</f>
        <v xml:space="preserve">SW저작권 등록(파모즈/전남대) 10/1-12/31 </v>
      </c>
      <c r="JB98" s="121"/>
    </row>
    <row r="99" spans="1:262" ht="14.5" outlineLevel="1">
      <c r="A99" s="102"/>
      <c r="B99" s="102" t="s">
        <v>1385</v>
      </c>
      <c r="C99" s="102">
        <v>2</v>
      </c>
      <c r="D99" s="118" t="s">
        <v>1785</v>
      </c>
      <c r="E99" s="103"/>
      <c r="F99" s="103" t="s">
        <v>1769</v>
      </c>
      <c r="G99" s="103"/>
      <c r="H99" s="103"/>
      <c r="I99" s="103"/>
      <c r="J99" s="103"/>
      <c r="K99" s="103"/>
      <c r="L99" s="103"/>
      <c r="M99" s="103"/>
      <c r="N99" s="103"/>
      <c r="O99" s="232"/>
      <c r="P99" s="104">
        <v>46237</v>
      </c>
      <c r="Q99" s="104">
        <v>46356</v>
      </c>
      <c r="R99" s="103"/>
      <c r="S99" s="105">
        <v>102</v>
      </c>
      <c r="T99" s="105">
        <v>0</v>
      </c>
      <c r="U99" s="105">
        <v>81</v>
      </c>
      <c r="V99" s="105">
        <v>0</v>
      </c>
      <c r="W99" s="104"/>
      <c r="X99" s="104"/>
      <c r="Y99" s="106">
        <v>0</v>
      </c>
      <c r="Z99" s="107">
        <v>0</v>
      </c>
      <c r="AA99" s="105"/>
      <c r="AB99" s="228" t="s">
        <v>1902</v>
      </c>
      <c r="AC99" s="238"/>
      <c r="AD99" s="117">
        <v>0</v>
      </c>
      <c r="AE99" s="211">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t="str">
        <f>"" &amp; TEXT(AE99,"#0.00%") &amp; " "</f>
        <v xml:space="preserve">0.00% </v>
      </c>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t="str">
        <f>"" &amp; "학술대회 참가" &amp; "(전남대)" &amp; " " &amp; IF(P99="","",TEXT(P99,"M/D-")) &amp; IF(Q99="","",TEXT(Q99,"M/D")) &amp; " "</f>
        <v xml:space="preserve">학술대회 참가(전남대) 8/3-11/30 </v>
      </c>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6" outlineLevel="2">
      <c r="A100" s="102"/>
      <c r="B100" s="102"/>
      <c r="C100" s="102">
        <v>3</v>
      </c>
      <c r="D100" s="118" t="s">
        <v>1786</v>
      </c>
      <c r="E100" s="103"/>
      <c r="F100" s="103"/>
      <c r="G100" s="229" t="s">
        <v>1770</v>
      </c>
      <c r="H100" s="229"/>
      <c r="I100" s="229"/>
      <c r="J100" s="103"/>
      <c r="K100" s="103"/>
      <c r="L100" s="103"/>
      <c r="M100" s="103"/>
      <c r="N100" s="103"/>
      <c r="O100" s="233"/>
      <c r="P100" s="227">
        <v>46237</v>
      </c>
      <c r="Q100" s="227">
        <v>46356</v>
      </c>
      <c r="R100" s="103"/>
      <c r="S100" s="105">
        <v>81</v>
      </c>
      <c r="T100" s="105">
        <v>0</v>
      </c>
      <c r="U100" s="105">
        <v>81</v>
      </c>
      <c r="V100" s="105">
        <v>0</v>
      </c>
      <c r="W100" s="104">
        <v>46114</v>
      </c>
      <c r="X100" s="104">
        <v>46114</v>
      </c>
      <c r="Y100" s="106">
        <v>1</v>
      </c>
      <c r="Z100" s="107">
        <v>1</v>
      </c>
      <c r="AA100" s="105">
        <v>1</v>
      </c>
      <c r="AB100" s="234" t="s">
        <v>1902</v>
      </c>
      <c r="AC100" s="235" t="s">
        <v>1806</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t="str">
        <f>"" &amp; TEXT(AE100,"#0.00%") &amp; " "</f>
        <v xml:space="preserve">0.00% </v>
      </c>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"발표 논문 작성 및 투고" &amp; "(전남대)" &amp; " " &amp; IF(P100="","",TEXT(P100,"M/D-")) &amp; IF(Q100="","",TEXT(Q100,"M/D")) &amp; " "</f>
        <v xml:space="preserve">발표 논문 작성 및 투고(전남대) 8/3-11/30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ht="16" outlineLevel="2">
      <c r="A101" s="102"/>
      <c r="B101" s="102"/>
      <c r="C101" s="102">
        <v>3</v>
      </c>
      <c r="D101" s="118" t="s">
        <v>1787</v>
      </c>
      <c r="E101" s="103"/>
      <c r="F101" s="103"/>
      <c r="G101" s="229" t="s">
        <v>1771</v>
      </c>
      <c r="H101" s="229"/>
      <c r="I101" s="229"/>
      <c r="J101" s="103"/>
      <c r="K101" s="103"/>
      <c r="L101" s="103"/>
      <c r="M101" s="103"/>
      <c r="N101" s="103"/>
      <c r="O101" s="233"/>
      <c r="P101" s="227">
        <v>46328</v>
      </c>
      <c r="Q101" s="227">
        <v>46332</v>
      </c>
      <c r="R101" s="103"/>
      <c r="S101" s="105">
        <v>5</v>
      </c>
      <c r="T101" s="105">
        <v>0</v>
      </c>
      <c r="U101" s="105">
        <v>5</v>
      </c>
      <c r="V101" s="105">
        <v>0</v>
      </c>
      <c r="W101" s="104"/>
      <c r="X101" s="104"/>
      <c r="Y101" s="106"/>
      <c r="Z101" s="107">
        <v>0</v>
      </c>
      <c r="AA101" s="105">
        <v>1</v>
      </c>
      <c r="AB101" s="234" t="s">
        <v>1902</v>
      </c>
      <c r="AC101" s="235" t="s">
        <v>1807</v>
      </c>
      <c r="AD101" s="117">
        <v>0</v>
      </c>
      <c r="AE101" s="199">
        <v>0</v>
      </c>
      <c r="AF101" s="120"/>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1"/>
      <c r="GO101" s="121"/>
      <c r="GP101" s="121"/>
      <c r="GQ101" s="121"/>
      <c r="GR101" s="121"/>
      <c r="GS101" s="121" t="str">
        <f>"" &amp; TEXT(AE101,"#0.00%") &amp; " " &amp; "학술대회 참석 및 발표" &amp; "(전남대)" &amp; " " &amp; IF(P101="","",TEXT(P101,"M/D-")) &amp; IF(Q101="","",TEXT(Q101,"M/D")) &amp; " "</f>
        <v xml:space="preserve">0.00% 학술대회 참석 및 발표(전남대) 11/2-11/6 </v>
      </c>
      <c r="GT101" s="121"/>
      <c r="GU101" s="121"/>
      <c r="GV101" s="121"/>
      <c r="GW101" s="121"/>
      <c r="GX101" s="121"/>
      <c r="GY101" s="121"/>
      <c r="GZ101" s="121"/>
      <c r="HA101" s="121"/>
      <c r="HB101" s="121"/>
      <c r="HC101" s="121"/>
      <c r="HD101" s="121"/>
      <c r="HE101" s="121"/>
      <c r="HF101" s="121"/>
      <c r="HG101" s="121"/>
      <c r="HH101" s="121"/>
      <c r="HI101" s="121"/>
      <c r="HJ101" s="121"/>
      <c r="HK101" s="121"/>
      <c r="HL101" s="121"/>
      <c r="HM101" s="121"/>
      <c r="HN101" s="121"/>
      <c r="HO101" s="121"/>
      <c r="HP101" s="121"/>
      <c r="HQ101" s="121"/>
      <c r="HR101" s="121"/>
      <c r="HS101" s="121"/>
      <c r="HT101" s="121"/>
      <c r="HU101" s="121"/>
      <c r="HV101" s="121"/>
      <c r="HW101" s="121"/>
      <c r="HX101" s="121"/>
      <c r="HY101" s="121"/>
      <c r="HZ101" s="121"/>
      <c r="IA101" s="121"/>
      <c r="IB101" s="121"/>
      <c r="IC101" s="121"/>
      <c r="ID101" s="121"/>
      <c r="IE101" s="121"/>
      <c r="IF101" s="121"/>
      <c r="IG101" s="121"/>
      <c r="IH101" s="121"/>
      <c r="II101" s="121"/>
      <c r="IJ101" s="121"/>
      <c r="IK101" s="121"/>
      <c r="IL101" s="121"/>
      <c r="IM101" s="121"/>
      <c r="IN101" s="121"/>
      <c r="IO101" s="121"/>
      <c r="IP101" s="121"/>
      <c r="IQ101" s="121"/>
      <c r="IR101" s="121"/>
      <c r="IS101" s="121"/>
      <c r="IT101" s="121"/>
      <c r="IU101" s="121"/>
      <c r="IV101" s="121"/>
      <c r="IW101" s="121"/>
      <c r="IX101" s="121"/>
      <c r="IY101" s="121"/>
      <c r="IZ101" s="121"/>
      <c r="JA101" s="121"/>
      <c r="JB101" s="121"/>
    </row>
    <row r="102" spans="1:262" ht="16" outlineLevel="2">
      <c r="A102" s="102"/>
      <c r="B102" s="102"/>
      <c r="C102" s="102">
        <v>3</v>
      </c>
      <c r="D102" s="118" t="s">
        <v>1788</v>
      </c>
      <c r="E102" s="103"/>
      <c r="F102" s="103"/>
      <c r="G102" s="229" t="s">
        <v>1772</v>
      </c>
      <c r="H102" s="229"/>
      <c r="I102" s="229"/>
      <c r="J102" s="103"/>
      <c r="K102" s="103"/>
      <c r="L102" s="103"/>
      <c r="M102" s="103"/>
      <c r="N102" s="103"/>
      <c r="O102" s="233"/>
      <c r="P102" s="227">
        <v>46335</v>
      </c>
      <c r="Q102" s="227">
        <v>46356</v>
      </c>
      <c r="R102" s="103"/>
      <c r="S102" s="105">
        <v>16</v>
      </c>
      <c r="T102" s="105">
        <v>0</v>
      </c>
      <c r="U102" s="105">
        <v>16</v>
      </c>
      <c r="V102" s="105">
        <v>0</v>
      </c>
      <c r="W102" s="104"/>
      <c r="X102" s="104"/>
      <c r="Y102" s="106"/>
      <c r="Z102" s="107">
        <v>0</v>
      </c>
      <c r="AA102" s="105">
        <v>1</v>
      </c>
      <c r="AB102" s="234" t="s">
        <v>1902</v>
      </c>
      <c r="AC102" s="235" t="s">
        <v>1808</v>
      </c>
      <c r="AD102" s="117">
        <v>0</v>
      </c>
      <c r="AE102" s="199">
        <v>0</v>
      </c>
      <c r="AF102" s="120"/>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1"/>
      <c r="GO102" s="121"/>
      <c r="GP102" s="121"/>
      <c r="GQ102" s="121"/>
      <c r="GR102" s="121"/>
      <c r="GS102" s="121"/>
      <c r="GT102" s="121"/>
      <c r="GU102" s="121"/>
      <c r="GV102" s="121"/>
      <c r="GW102" s="121"/>
      <c r="GX102" s="121"/>
      <c r="GY102" s="121"/>
      <c r="GZ102" s="121" t="str">
        <f>"" &amp; TEXT(AE102,"#0.00%") &amp; " "</f>
        <v xml:space="preserve">0.00% </v>
      </c>
      <c r="HA102" s="121"/>
      <c r="HB102" s="121"/>
      <c r="HC102" s="121"/>
      <c r="HD102" s="121"/>
      <c r="HE102" s="121"/>
      <c r="HF102" s="121"/>
      <c r="HG102" s="121"/>
      <c r="HH102" s="121"/>
      <c r="HI102" s="121"/>
      <c r="HJ102" s="121"/>
      <c r="HK102" s="121"/>
      <c r="HL102" s="121"/>
      <c r="HM102" s="121"/>
      <c r="HN102" s="121"/>
      <c r="HO102" s="121"/>
      <c r="HP102" s="121"/>
      <c r="HQ102" s="121"/>
      <c r="HR102" s="121"/>
      <c r="HS102" s="121"/>
      <c r="HT102" s="121"/>
      <c r="HU102" s="121"/>
      <c r="HV102" s="121" t="str">
        <f>"" &amp; "학술성과 등록 및 결과 보고" &amp; "(전남대)" &amp; " " &amp; IF(P102="","",TEXT(P102,"M/D-")) &amp; IF(Q102="","",TEXT(Q102,"M/D")) &amp; " "</f>
        <v xml:space="preserve">학술성과 등록 및 결과 보고(전남대) 11/9-11/30 </v>
      </c>
      <c r="HW102" s="121"/>
      <c r="HX102" s="121"/>
      <c r="HY102" s="121"/>
      <c r="HZ102" s="121"/>
      <c r="IA102" s="121"/>
      <c r="IB102" s="121"/>
      <c r="IC102" s="121"/>
      <c r="ID102" s="121"/>
      <c r="IE102" s="121"/>
      <c r="IF102" s="121"/>
      <c r="IG102" s="121"/>
      <c r="IH102" s="121"/>
      <c r="II102" s="121"/>
      <c r="IJ102" s="121"/>
      <c r="IK102" s="121"/>
      <c r="IL102" s="121"/>
      <c r="IM102" s="121"/>
      <c r="IN102" s="121"/>
      <c r="IO102" s="121"/>
      <c r="IP102" s="121"/>
      <c r="IQ102" s="121"/>
      <c r="IR102" s="121"/>
      <c r="IS102" s="121"/>
      <c r="IT102" s="121"/>
      <c r="IU102" s="121"/>
      <c r="IV102" s="121"/>
      <c r="IW102" s="121"/>
      <c r="IX102" s="121"/>
      <c r="IY102" s="121"/>
      <c r="IZ102" s="121"/>
      <c r="JA102" s="121"/>
      <c r="JB102" s="121"/>
    </row>
    <row r="103" spans="1:262" ht="14.5">
      <c r="A103" s="152"/>
      <c r="B103" s="152"/>
      <c r="C103" s="152"/>
      <c r="D103" s="153"/>
      <c r="E103" s="154"/>
      <c r="F103" s="154"/>
      <c r="G103" s="154"/>
      <c r="H103" s="154"/>
      <c r="I103" s="154"/>
      <c r="J103" s="154"/>
      <c r="K103" s="154"/>
      <c r="L103" s="154"/>
      <c r="M103" s="154"/>
      <c r="N103" s="154"/>
      <c r="O103" s="154"/>
      <c r="P103" s="155"/>
      <c r="Q103" s="155"/>
      <c r="R103" s="154"/>
      <c r="S103" s="156"/>
      <c r="T103" s="156"/>
      <c r="U103" s="156"/>
      <c r="V103" s="156"/>
      <c r="W103" s="155"/>
      <c r="X103" s="155"/>
      <c r="Y103" s="157"/>
      <c r="Z103" s="158"/>
      <c r="AA103" s="156"/>
      <c r="AB103" s="154"/>
      <c r="AC103" s="154"/>
      <c r="AD103" s="159"/>
      <c r="AE103" s="160"/>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19"/>
      <c r="GT103" s="119"/>
      <c r="GU103" s="119"/>
      <c r="GV103" s="119"/>
      <c r="GW103" s="119"/>
      <c r="GX103" s="119"/>
      <c r="GY103" s="119"/>
      <c r="GZ103" s="119"/>
      <c r="HA103" s="119"/>
      <c r="HB103" s="119"/>
      <c r="HC103" s="119"/>
      <c r="HD103" s="119"/>
      <c r="HE103" s="119"/>
      <c r="HF103" s="119"/>
      <c r="HG103" s="119"/>
      <c r="HH103" s="119"/>
      <c r="HI103" s="119"/>
      <c r="HJ103" s="119"/>
      <c r="HK103" s="119"/>
      <c r="HL103" s="119"/>
      <c r="HM103" s="119"/>
      <c r="HN103" s="119"/>
      <c r="HO103" s="119"/>
      <c r="HP103" s="119"/>
      <c r="HQ103" s="119"/>
      <c r="HR103" s="119"/>
      <c r="HS103" s="119"/>
      <c r="HT103" s="119"/>
      <c r="HU103" s="119"/>
      <c r="HV103" s="119"/>
      <c r="HW103" s="119"/>
      <c r="HX103" s="119"/>
      <c r="HY103" s="119"/>
      <c r="HZ103" s="119"/>
      <c r="IA103" s="119"/>
      <c r="IB103" s="119"/>
      <c r="IC103" s="119"/>
      <c r="ID103" s="119"/>
      <c r="IE103" s="119"/>
      <c r="IF103" s="119"/>
      <c r="IG103" s="119"/>
      <c r="IH103" s="119"/>
      <c r="II103" s="119"/>
      <c r="IJ103" s="119"/>
      <c r="IK103" s="119"/>
      <c r="IL103" s="119"/>
      <c r="IM103" s="119"/>
      <c r="IN103" s="119"/>
      <c r="IO103" s="119"/>
      <c r="IP103" s="119"/>
      <c r="IQ103" s="119"/>
      <c r="IR103" s="119"/>
      <c r="IS103" s="119"/>
      <c r="IT103" s="119"/>
      <c r="IU103" s="119"/>
      <c r="IV103" s="119"/>
      <c r="IW103" s="119"/>
      <c r="IX103" s="119"/>
      <c r="IY103" s="119"/>
      <c r="IZ103" s="119"/>
      <c r="JA103" s="119"/>
      <c r="JB103"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name="범위1_6_3_2"/>
    <protectedRange password="CA19" sqref="G24:I25 G34:I35 G37:I38" name="범위1_2_1_1"/>
    <protectedRange password="CA19" sqref="P24:Q25" name="범위1_6_3_3"/>
    <protectedRange password="CA19" sqref="G27:I29" name="범위1_2_1_4"/>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8:I88" name="범위1_2_1_2_1"/>
    <protectedRange password="CA19" sqref="G51:I53" name="범위1_2_1_3_1"/>
    <protectedRange password="CA19" sqref="G57:H58" name="범위1_1_2_1"/>
    <protectedRange password="CA19" sqref="I57:I58" name="범위1_5_1_1"/>
    <protectedRange password="CA19" sqref="P57:Q58" name="범위1_6_3_10"/>
    <protectedRange password="CA19" sqref="G60:I60" name="범위1_2_1_5"/>
    <protectedRange password="CA19" sqref="G61:H61" name="범위1_1_2_2"/>
    <protectedRange password="CA19" sqref="I61" name="범위1_5_1_2"/>
    <protectedRange password="CA19" sqref="P60:Q61" name="범위1_6_3_11"/>
    <protectedRange password="CA19" sqref="G63:I63 G67:I67 G69:I69" name="범위1_2_1_6"/>
    <protectedRange password="CA19" sqref="G64:H65" name="범위1_1_2_3"/>
    <protectedRange password="CA19" sqref="I64:I65" name="범위1_5_1_3"/>
    <protectedRange password="CA19" sqref="P63:Q65 P67:Q67 P69:Q69" name="범위1_6_3_12"/>
    <protectedRange password="CA19" sqref="G66:I66" name="범위1_3_1_3"/>
    <protectedRange password="CA19" sqref="F66" name="범위1_3_1_2_2"/>
    <protectedRange password="CA19" sqref="G68:I68" name="범위1_3_1_4"/>
    <protectedRange password="CA19" sqref="F68" name="범위1_3_1_2_1_1"/>
    <protectedRange password="CA19" sqref="G71:I73" name="범위1_2_1_1_1"/>
    <protectedRange password="CA19" sqref="P71:P73" name="범위1_6_3_2_1"/>
    <protectedRange password="CA19" sqref="G76:H76 G77:I80" name="범위1_1_2_4"/>
    <protectedRange password="CA19" sqref="I76" name="범위1_5_1_4"/>
    <protectedRange password="CA19" sqref="P76:Q80" name="범위1_6_3_13"/>
    <protectedRange password="CA19" sqref="G82:H82 G83:I85" name="범위1_1_2_5"/>
    <protectedRange password="CA19" sqref="I82" name="범위1_5_1_5"/>
    <protectedRange password="CA19" sqref="G86:I86" name="범위1_1_2_1_1"/>
    <protectedRange password="CA19" sqref="P82:Q85" name="범위1_6_3_14"/>
    <protectedRange password="CA19" sqref="P86:Q86" name="범위1_6_3_1_1"/>
    <protectedRange password="CA19" sqref="P88:Q88" name="범위1_6_3_1_2"/>
    <protectedRange password="CA19" sqref="G91:H92" name="범위1_1_2_6"/>
    <protectedRange password="CA19" sqref="I91:I92" name="범위1_5_1_6"/>
    <protectedRange password="CA19" sqref="P91:Q92" name="범위1_6_3_15"/>
    <protectedRange password="CA19" sqref="P94:Q95" name="범위1_6_3_16"/>
    <protectedRange password="CA19" sqref="P97:Q98" name="범위1_4_2_2"/>
    <protectedRange password="CA19" sqref="P100:Q102" name="범위1_4_2_2_1"/>
    <protectedRange password="CA19" sqref="P27:Q29" name="범위1_6_3_5_1"/>
    <protectedRange password="CA19" sqref="P47:Q49" name="범위1_6_3_3_1_1"/>
    <protectedRange password="CA19" sqref="P54:Q55" name="범위1_6_3_2_2"/>
    <protectedRange password="CA19" sqref="G54:I55" name="범위1_2_1_3_1_1"/>
    <protectedRange password="CA19" sqref="P51:Q53" name="범위1_6_3_2_3"/>
    <protectedRange password="CA19" sqref="Q71:Q73" name="범위1_6_3_2_1_1"/>
  </protectedRanges>
  <dataConsolidate/>
  <mergeCells count="90">
    <mergeCell ref="X3:X4"/>
    <mergeCell ref="T3:T4"/>
    <mergeCell ref="A3:A4"/>
    <mergeCell ref="B3:B4"/>
    <mergeCell ref="C3:C4"/>
    <mergeCell ref="D3:D4"/>
    <mergeCell ref="E3:N4"/>
    <mergeCell ref="Q3:Q4"/>
    <mergeCell ref="R3:R4"/>
    <mergeCell ref="S3:S4"/>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BA3:BG3"/>
    <mergeCell ref="BA2:BG2"/>
    <mergeCell ref="BH3:BN3"/>
    <mergeCell ref="BH2:BN2"/>
    <mergeCell ref="BO3:BU3"/>
    <mergeCell ref="BO2:BU2"/>
    <mergeCell ref="AF3:AL3"/>
    <mergeCell ref="AF2:AL2"/>
    <mergeCell ref="AM3:AS3"/>
    <mergeCell ref="AM2:AS2"/>
    <mergeCell ref="AT3:AZ3"/>
    <mergeCell ref="AT2:AZ2"/>
    <mergeCell ref="CC3:CI3"/>
    <mergeCell ref="CC2:CI2"/>
    <mergeCell ref="CJ3:CP3"/>
    <mergeCell ref="CJ2:CP2"/>
    <mergeCell ref="CQ3:CW3"/>
    <mergeCell ref="CQ2:CW2"/>
    <mergeCell ref="CX3:DD3"/>
    <mergeCell ref="CX2:DD2"/>
    <mergeCell ref="DE3:DK3"/>
    <mergeCell ref="DE2:DK2"/>
    <mergeCell ref="DL3:DR3"/>
    <mergeCell ref="DL2:DR2"/>
    <mergeCell ref="DS3:DY3"/>
    <mergeCell ref="DS2:DY2"/>
    <mergeCell ref="DZ3:EF3"/>
    <mergeCell ref="DZ2:EF2"/>
    <mergeCell ref="EG3:EM3"/>
    <mergeCell ref="EG2:EM2"/>
    <mergeCell ref="EN3:ET3"/>
    <mergeCell ref="EN2:ET2"/>
    <mergeCell ref="EU3:FA3"/>
    <mergeCell ref="EU2:FA2"/>
    <mergeCell ref="FB3:FH3"/>
    <mergeCell ref="FB2:FH2"/>
    <mergeCell ref="FI3:FO3"/>
    <mergeCell ref="FI2:FO2"/>
    <mergeCell ref="FP3:FV3"/>
    <mergeCell ref="FP2:FV2"/>
    <mergeCell ref="FW3:GC3"/>
    <mergeCell ref="FW2:GC2"/>
    <mergeCell ref="GD3:GJ3"/>
    <mergeCell ref="GD2:GJ2"/>
    <mergeCell ref="GK3:GQ3"/>
    <mergeCell ref="GK2:GQ2"/>
    <mergeCell ref="GR3:GX3"/>
    <mergeCell ref="GR2:GX2"/>
    <mergeCell ref="GY3:HE3"/>
    <mergeCell ref="GY2:HE2"/>
    <mergeCell ref="HF3:HL3"/>
    <mergeCell ref="HF2:HL2"/>
    <mergeCell ref="HM3:HS3"/>
    <mergeCell ref="HM2:HS2"/>
    <mergeCell ref="IO3:IU3"/>
    <mergeCell ref="IO2:IU2"/>
    <mergeCell ref="IV3:JB3"/>
    <mergeCell ref="IV2:JB2"/>
    <mergeCell ref="HT3:HZ3"/>
    <mergeCell ref="HT2:HZ2"/>
    <mergeCell ref="IA3:IG3"/>
    <mergeCell ref="IA2:IG2"/>
    <mergeCell ref="IH3:IN3"/>
    <mergeCell ref="IH2:IN2"/>
  </mergeCells>
  <phoneticPr fontId="1" type="noConversion"/>
  <conditionalFormatting sqref="AF5:JB102">
    <cfRule type="expression" dxfId="2" priority="2" stopIfTrue="1">
      <formula>COUNTIF(STD_CAL,AF$4)&gt;0</formula>
    </cfRule>
  </conditionalFormatting>
  <conditionalFormatting sqref="D5:AD102">
    <cfRule type="expression" dxfId="1" priority="1">
      <formula>($B5="G")</formula>
    </cfRule>
  </conditionalFormatting>
  <hyperlinks>
    <hyperlink ref="AF1:BJ1" r:id="rId1" display="https://xlworks.net/xlgantt-project-scheduler/" xr:uid="{00000000-0004-0000-0100-000000000000}"/>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4.5"/>
  <cols>
    <col min="1" max="1" width="40.58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1545</v>
      </c>
      <c r="B1" s="2"/>
      <c r="C1" s="2"/>
      <c r="D1" s="2"/>
      <c r="E1" s="2"/>
      <c r="F1" s="2"/>
      <c r="G1" s="2"/>
      <c r="H1" s="2"/>
      <c r="I1" s="2"/>
      <c r="J1" s="2"/>
      <c r="K1" s="2"/>
      <c r="L1" s="312"/>
      <c r="M1" s="313"/>
      <c r="N1" s="313"/>
      <c r="O1" s="3"/>
      <c r="P1" s="3"/>
      <c r="Q1" s="3"/>
    </row>
    <row r="2" spans="1:17" s="7" customFormat="1" ht="13">
      <c r="A2" s="5" t="s">
        <v>1548</v>
      </c>
      <c r="B2" s="6"/>
    </row>
    <row r="3" spans="1:17" s="7" customFormat="1" ht="13">
      <c r="A3" s="5" t="s">
        <v>1549</v>
      </c>
      <c r="B3" s="6"/>
    </row>
    <row r="4" spans="1:17" s="7" customFormat="1" ht="13">
      <c r="A4" s="314"/>
      <c r="B4" s="314"/>
      <c r="C4" s="8"/>
      <c r="D4" s="9"/>
      <c r="E4" s="9"/>
      <c r="F4" s="9"/>
    </row>
    <row r="5" spans="1:17" s="15" customFormat="1" ht="13">
      <c r="A5" s="10"/>
      <c r="B5" s="11"/>
      <c r="C5" s="12"/>
      <c r="D5" s="13"/>
      <c r="E5" s="14"/>
      <c r="F5" s="14"/>
      <c r="G5" s="14"/>
    </row>
    <row r="6" spans="1:17" s="15" customFormat="1" ht="13">
      <c r="A6" s="16" t="s">
        <v>1550</v>
      </c>
      <c r="B6" s="17">
        <v>2387</v>
      </c>
      <c r="C6" s="15" t="s">
        <v>0</v>
      </c>
      <c r="D6" s="311" t="s">
        <v>1551</v>
      </c>
      <c r="E6" s="311"/>
      <c r="F6" s="311"/>
      <c r="G6" s="311"/>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1552</v>
      </c>
      <c r="B9" s="17">
        <v>404</v>
      </c>
      <c r="C9" s="15" t="s">
        <v>0</v>
      </c>
      <c r="D9" s="315" t="s">
        <v>1553</v>
      </c>
      <c r="E9" s="310"/>
      <c r="F9" s="310"/>
      <c r="G9" s="310"/>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1546</v>
      </c>
      <c r="B12" s="17">
        <v>418.00130000000001</v>
      </c>
      <c r="C12" s="15" t="s">
        <v>0</v>
      </c>
      <c r="D12" s="315" t="s">
        <v>1547</v>
      </c>
      <c r="E12" s="310"/>
      <c r="F12" s="310"/>
      <c r="G12" s="310"/>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1554</v>
      </c>
      <c r="B15" s="17"/>
      <c r="C15" s="15" t="s">
        <v>0</v>
      </c>
      <c r="D15" s="310" t="s">
        <v>1555</v>
      </c>
      <c r="E15" s="310"/>
      <c r="F15" s="310"/>
      <c r="G15" s="310"/>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1556</v>
      </c>
      <c r="B18" s="39">
        <v>0.1692501047339757</v>
      </c>
      <c r="D18" s="310" t="s">
        <v>1557</v>
      </c>
      <c r="E18" s="310"/>
      <c r="F18" s="310"/>
      <c r="G18" s="310"/>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1558</v>
      </c>
      <c r="B21" s="39">
        <v>0.17511575198994556</v>
      </c>
      <c r="D21" s="310" t="s">
        <v>1559</v>
      </c>
      <c r="E21" s="310"/>
      <c r="F21" s="310"/>
      <c r="G21" s="310"/>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1560</v>
      </c>
      <c r="B24" s="49">
        <f>ACTUAL_RATE-PLANNED_RATE</f>
        <v>5.865647255969858E-3</v>
      </c>
      <c r="D24" s="311" t="s">
        <v>1561</v>
      </c>
      <c r="E24" s="311"/>
      <c r="F24" s="311"/>
      <c r="G24" s="311"/>
    </row>
    <row r="25" spans="1:7" s="15" customFormat="1" ht="13">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08203125" defaultRowHeight="14.5"/>
  <cols>
    <col min="1" max="1" width="1.58203125" style="218" customWidth="1"/>
    <col min="2" max="3" width="10" style="218" bestFit="1" customWidth="1"/>
    <col min="4" max="4" width="9.08203125" style="218"/>
    <col min="5" max="5" width="10.58203125" style="218" bestFit="1" customWidth="1"/>
    <col min="6" max="6" width="10.58203125" style="219" bestFit="1" customWidth="1"/>
    <col min="7" max="8" width="10" style="218" bestFit="1" customWidth="1"/>
    <col min="9" max="9" width="9.25" style="218" bestFit="1" customWidth="1"/>
    <col min="10" max="12" width="10.58203125" style="218" bestFit="1" customWidth="1"/>
    <col min="13" max="16384" width="9.08203125" style="218"/>
  </cols>
  <sheetData>
    <row r="1" spans="2:12" ht="37" customHeight="1">
      <c r="B1" s="1" t="s">
        <v>1347</v>
      </c>
    </row>
    <row r="2" spans="2:12">
      <c r="B2" s="218" t="s">
        <v>1444</v>
      </c>
    </row>
    <row r="3" spans="2:12">
      <c r="B3" s="218" t="s">
        <v>1326</v>
      </c>
    </row>
    <row r="6" spans="2:12" ht="43.5">
      <c r="B6" s="200" t="s">
        <v>1578</v>
      </c>
      <c r="C6" s="201" t="s">
        <v>1579</v>
      </c>
      <c r="D6" s="201" t="s">
        <v>1594</v>
      </c>
      <c r="E6" s="201" t="s">
        <v>1479</v>
      </c>
      <c r="F6" s="215" t="s">
        <v>1340</v>
      </c>
      <c r="G6" s="201" t="s">
        <v>1595</v>
      </c>
      <c r="H6" s="201" t="s">
        <v>1480</v>
      </c>
      <c r="I6" s="201" t="s">
        <v>1336</v>
      </c>
      <c r="J6" s="201" t="s">
        <v>1596</v>
      </c>
      <c r="K6" s="201" t="s">
        <v>1481</v>
      </c>
      <c r="L6" s="216" t="s">
        <v>1482</v>
      </c>
    </row>
    <row r="7" spans="2:12">
      <c r="B7" s="220">
        <v>46161</v>
      </c>
      <c r="C7" s="220">
        <v>46165</v>
      </c>
      <c r="D7" s="221">
        <v>8</v>
      </c>
      <c r="E7" s="221">
        <v>8</v>
      </c>
      <c r="F7" s="224">
        <v>3.4467901766479965E-3</v>
      </c>
      <c r="G7" s="221">
        <v>8</v>
      </c>
      <c r="H7" s="221">
        <v>8</v>
      </c>
      <c r="I7" s="224">
        <v>3.4468188998994682E-3</v>
      </c>
      <c r="J7" s="221">
        <v>0</v>
      </c>
      <c r="K7" s="221">
        <v>0</v>
      </c>
      <c r="L7" s="224">
        <v>0</v>
      </c>
    </row>
    <row r="8" spans="2:12">
      <c r="B8" s="222">
        <v>46166</v>
      </c>
      <c r="C8" s="222">
        <v>46172</v>
      </c>
      <c r="D8" s="223">
        <v>14</v>
      </c>
      <c r="E8" s="223">
        <v>22</v>
      </c>
      <c r="F8" s="225">
        <v>9.4786729857819912E-3</v>
      </c>
      <c r="G8" s="223">
        <v>14</v>
      </c>
      <c r="H8" s="223">
        <v>22</v>
      </c>
      <c r="I8" s="225">
        <v>9.4781457089513962E-3</v>
      </c>
      <c r="J8" s="223">
        <v>0</v>
      </c>
      <c r="K8" s="223">
        <v>0</v>
      </c>
      <c r="L8" s="225">
        <v>0</v>
      </c>
    </row>
    <row r="9" spans="2:12">
      <c r="B9" s="222">
        <v>46173</v>
      </c>
      <c r="C9" s="222">
        <v>46179</v>
      </c>
      <c r="D9" s="223">
        <v>36</v>
      </c>
      <c r="E9" s="223">
        <v>58</v>
      </c>
      <c r="F9" s="225">
        <v>2.4989228780697974E-2</v>
      </c>
      <c r="G9" s="223">
        <v>36</v>
      </c>
      <c r="H9" s="223">
        <v>58</v>
      </c>
      <c r="I9" s="225">
        <v>2.4988102418908104E-2</v>
      </c>
      <c r="J9" s="223">
        <v>0</v>
      </c>
      <c r="K9" s="223">
        <v>0</v>
      </c>
      <c r="L9" s="225">
        <v>0</v>
      </c>
    </row>
    <row r="10" spans="2:12">
      <c r="B10" s="222">
        <v>46180</v>
      </c>
      <c r="C10" s="222">
        <v>46186</v>
      </c>
      <c r="D10" s="223">
        <v>44</v>
      </c>
      <c r="E10" s="223">
        <v>102</v>
      </c>
      <c r="F10" s="225">
        <v>4.3946574752261956E-2</v>
      </c>
      <c r="G10" s="223">
        <v>44</v>
      </c>
      <c r="H10" s="223">
        <v>102</v>
      </c>
      <c r="I10" s="225">
        <v>4.3944699534272991E-2</v>
      </c>
      <c r="J10" s="223">
        <v>0</v>
      </c>
      <c r="K10" s="223">
        <v>0</v>
      </c>
      <c r="L10" s="225">
        <v>0</v>
      </c>
    </row>
    <row r="11" spans="2:12">
      <c r="B11" s="222">
        <v>46187</v>
      </c>
      <c r="C11" s="222">
        <v>46193</v>
      </c>
      <c r="D11" s="223">
        <v>60</v>
      </c>
      <c r="E11" s="223">
        <v>162</v>
      </c>
      <c r="F11" s="225">
        <v>6.9797501077121932E-2</v>
      </c>
      <c r="G11" s="223">
        <v>12</v>
      </c>
      <c r="H11" s="223">
        <v>113.99</v>
      </c>
      <c r="I11" s="225">
        <v>4.9114390348987506E-2</v>
      </c>
      <c r="J11" s="223">
        <v>0</v>
      </c>
      <c r="K11" s="223">
        <v>0</v>
      </c>
      <c r="L11" s="225">
        <v>0</v>
      </c>
    </row>
    <row r="12" spans="2:12">
      <c r="B12" s="222">
        <v>46194</v>
      </c>
      <c r="C12" s="222">
        <v>46200</v>
      </c>
      <c r="D12" s="223">
        <v>80</v>
      </c>
      <c r="E12" s="223">
        <v>242</v>
      </c>
      <c r="F12" s="225">
        <v>0.10426540284360189</v>
      </c>
      <c r="G12" s="223">
        <v>0</v>
      </c>
      <c r="H12" s="223">
        <v>113.99</v>
      </c>
      <c r="I12" s="225">
        <v>4.9114390348987506E-2</v>
      </c>
      <c r="J12" s="223">
        <v>0</v>
      </c>
      <c r="K12" s="223">
        <v>0</v>
      </c>
      <c r="L12" s="225">
        <v>0</v>
      </c>
    </row>
    <row r="13" spans="2:12">
      <c r="B13" s="222">
        <v>46201</v>
      </c>
      <c r="C13" s="222">
        <v>46207</v>
      </c>
      <c r="D13" s="223">
        <v>79</v>
      </c>
      <c r="E13" s="223">
        <v>321</v>
      </c>
      <c r="F13" s="225">
        <v>0.13830245583800085</v>
      </c>
      <c r="G13" s="223">
        <v>0</v>
      </c>
      <c r="H13" s="223">
        <v>113.99</v>
      </c>
      <c r="I13" s="225">
        <v>4.9114390348987506E-2</v>
      </c>
      <c r="J13" s="223">
        <v>0</v>
      </c>
      <c r="K13" s="223">
        <v>0</v>
      </c>
      <c r="L13" s="225">
        <v>0</v>
      </c>
    </row>
    <row r="14" spans="2:12">
      <c r="B14" s="222">
        <v>46208</v>
      </c>
      <c r="C14" s="222">
        <v>46214</v>
      </c>
      <c r="D14" s="223">
        <v>90</v>
      </c>
      <c r="E14" s="223">
        <v>411</v>
      </c>
      <c r="F14" s="225">
        <v>0.17707884532529083</v>
      </c>
      <c r="G14" s="223">
        <v>0</v>
      </c>
      <c r="H14" s="223">
        <v>113.99</v>
      </c>
      <c r="I14" s="225">
        <v>4.9114390348987506E-2</v>
      </c>
      <c r="J14" s="223">
        <v>0</v>
      </c>
      <c r="K14" s="223">
        <v>0</v>
      </c>
      <c r="L14" s="225">
        <v>0</v>
      </c>
    </row>
    <row r="15" spans="2:12">
      <c r="B15" s="222">
        <v>46215</v>
      </c>
      <c r="C15" s="222">
        <v>46221</v>
      </c>
      <c r="D15" s="223">
        <v>78</v>
      </c>
      <c r="E15" s="223">
        <v>489</v>
      </c>
      <c r="F15" s="225">
        <v>0.21068504954760878</v>
      </c>
      <c r="G15" s="223">
        <v>0</v>
      </c>
      <c r="H15" s="223">
        <v>113.99</v>
      </c>
      <c r="I15" s="225">
        <v>4.9114390348987506E-2</v>
      </c>
      <c r="J15" s="223">
        <v>0</v>
      </c>
      <c r="K15" s="223">
        <v>0</v>
      </c>
      <c r="L15" s="225">
        <v>0</v>
      </c>
    </row>
    <row r="16" spans="2:12">
      <c r="B16" s="222">
        <v>46222</v>
      </c>
      <c r="C16" s="222">
        <v>46228</v>
      </c>
      <c r="D16" s="223">
        <v>74</v>
      </c>
      <c r="E16" s="223">
        <v>563</v>
      </c>
      <c r="F16" s="225">
        <v>0.24256785868160274</v>
      </c>
      <c r="G16" s="223">
        <v>0</v>
      </c>
      <c r="H16" s="223">
        <v>113.99</v>
      </c>
      <c r="I16" s="225">
        <v>4.9114390348987506E-2</v>
      </c>
      <c r="J16" s="223">
        <v>0</v>
      </c>
      <c r="K16" s="223">
        <v>0</v>
      </c>
      <c r="L16" s="225">
        <v>0</v>
      </c>
    </row>
    <row r="17" spans="2:12">
      <c r="B17" s="222">
        <v>46229</v>
      </c>
      <c r="C17" s="222">
        <v>46235</v>
      </c>
      <c r="D17" s="223">
        <v>61</v>
      </c>
      <c r="E17" s="223">
        <v>624</v>
      </c>
      <c r="F17" s="225">
        <v>0.26884963377854371</v>
      </c>
      <c r="G17" s="223">
        <v>0</v>
      </c>
      <c r="H17" s="223">
        <v>113.99</v>
      </c>
      <c r="I17" s="225">
        <v>4.9114390348987506E-2</v>
      </c>
      <c r="J17" s="223">
        <v>0</v>
      </c>
      <c r="K17" s="223">
        <v>0</v>
      </c>
      <c r="L17" s="225">
        <v>0</v>
      </c>
    </row>
    <row r="18" spans="2:12">
      <c r="B18" s="222">
        <v>46236</v>
      </c>
      <c r="C18" s="222">
        <v>46242</v>
      </c>
      <c r="D18" s="223">
        <v>80</v>
      </c>
      <c r="E18" s="223">
        <v>704</v>
      </c>
      <c r="F18" s="225">
        <v>0.30331753554502372</v>
      </c>
      <c r="G18" s="223">
        <v>0</v>
      </c>
      <c r="H18" s="223">
        <v>113.99</v>
      </c>
      <c r="I18" s="225">
        <v>4.9114390348987506E-2</v>
      </c>
      <c r="J18" s="223">
        <v>0</v>
      </c>
      <c r="K18" s="223">
        <v>0</v>
      </c>
      <c r="L18" s="225">
        <v>0</v>
      </c>
    </row>
    <row r="19" spans="2:12">
      <c r="B19" s="222">
        <v>46243</v>
      </c>
      <c r="C19" s="222">
        <v>46249</v>
      </c>
      <c r="D19" s="223">
        <v>80</v>
      </c>
      <c r="E19" s="223">
        <v>784</v>
      </c>
      <c r="F19" s="225">
        <v>0.33778543731150368</v>
      </c>
      <c r="G19" s="223">
        <v>0</v>
      </c>
      <c r="H19" s="223">
        <v>113.99</v>
      </c>
      <c r="I19" s="225">
        <v>4.9114390348987506E-2</v>
      </c>
      <c r="J19" s="223">
        <v>0</v>
      </c>
      <c r="K19" s="223">
        <v>0</v>
      </c>
      <c r="L19" s="225">
        <v>0</v>
      </c>
    </row>
    <row r="20" spans="2:12">
      <c r="B20" s="222">
        <v>46250</v>
      </c>
      <c r="C20" s="222">
        <v>46256</v>
      </c>
      <c r="D20" s="223">
        <v>64</v>
      </c>
      <c r="E20" s="223">
        <v>848</v>
      </c>
      <c r="F20" s="225">
        <v>0.36535975872468762</v>
      </c>
      <c r="G20" s="223">
        <v>0</v>
      </c>
      <c r="H20" s="223">
        <v>113.99</v>
      </c>
      <c r="I20" s="225">
        <v>4.9114390348987506E-2</v>
      </c>
      <c r="J20" s="223">
        <v>0</v>
      </c>
      <c r="K20" s="223">
        <v>0</v>
      </c>
      <c r="L20" s="225">
        <v>0</v>
      </c>
    </row>
    <row r="21" spans="2:12">
      <c r="B21" s="222">
        <v>46257</v>
      </c>
      <c r="C21" s="222">
        <v>46263</v>
      </c>
      <c r="D21" s="223">
        <v>80</v>
      </c>
      <c r="E21" s="223">
        <v>928</v>
      </c>
      <c r="F21" s="225">
        <v>0.39982766049116758</v>
      </c>
      <c r="G21" s="223">
        <v>0</v>
      </c>
      <c r="H21" s="223">
        <v>113.99</v>
      </c>
      <c r="I21" s="225">
        <v>4.9114390348987506E-2</v>
      </c>
      <c r="J21" s="223">
        <v>0</v>
      </c>
      <c r="K21" s="223">
        <v>0</v>
      </c>
      <c r="L21" s="225">
        <v>0</v>
      </c>
    </row>
    <row r="22" spans="2:12">
      <c r="B22" s="222">
        <v>46264</v>
      </c>
      <c r="C22" s="222">
        <v>46270</v>
      </c>
      <c r="D22" s="223">
        <v>80</v>
      </c>
      <c r="E22" s="223">
        <v>1008</v>
      </c>
      <c r="F22" s="225">
        <v>0.43429556225764754</v>
      </c>
      <c r="G22" s="223">
        <v>0</v>
      </c>
      <c r="H22" s="223">
        <v>113.99</v>
      </c>
      <c r="I22" s="225">
        <v>4.9114390348987506E-2</v>
      </c>
      <c r="J22" s="223">
        <v>0</v>
      </c>
      <c r="K22" s="223">
        <v>0</v>
      </c>
      <c r="L22" s="225">
        <v>0</v>
      </c>
    </row>
    <row r="23" spans="2:12">
      <c r="B23" s="222">
        <v>46271</v>
      </c>
      <c r="C23" s="222">
        <v>46277</v>
      </c>
      <c r="D23" s="223">
        <v>80</v>
      </c>
      <c r="E23" s="223">
        <v>1088</v>
      </c>
      <c r="F23" s="225">
        <v>0.46876346402412755</v>
      </c>
      <c r="G23" s="223">
        <v>0</v>
      </c>
      <c r="H23" s="223">
        <v>113.99</v>
      </c>
      <c r="I23" s="225">
        <v>4.9114390348987506E-2</v>
      </c>
      <c r="J23" s="223">
        <v>0</v>
      </c>
      <c r="K23" s="223">
        <v>0</v>
      </c>
      <c r="L23" s="225">
        <v>0</v>
      </c>
    </row>
    <row r="24" spans="2:12">
      <c r="B24" s="222">
        <v>46278</v>
      </c>
      <c r="C24" s="222">
        <v>46284</v>
      </c>
      <c r="D24" s="223">
        <v>77</v>
      </c>
      <c r="E24" s="223">
        <v>1165</v>
      </c>
      <c r="F24" s="225">
        <v>0.50193881947436447</v>
      </c>
      <c r="G24" s="223">
        <v>0</v>
      </c>
      <c r="H24" s="223">
        <v>113.99</v>
      </c>
      <c r="I24" s="225">
        <v>4.9114390348987506E-2</v>
      </c>
      <c r="J24" s="223">
        <v>0</v>
      </c>
      <c r="K24" s="223">
        <v>0</v>
      </c>
      <c r="L24" s="225">
        <v>0</v>
      </c>
    </row>
    <row r="25" spans="2:12">
      <c r="B25" s="222">
        <v>46285</v>
      </c>
      <c r="C25" s="222">
        <v>46291</v>
      </c>
      <c r="D25" s="223">
        <v>46</v>
      </c>
      <c r="E25" s="223">
        <v>1211</v>
      </c>
      <c r="F25" s="225">
        <v>0.52175786299009053</v>
      </c>
      <c r="G25" s="223">
        <v>0</v>
      </c>
      <c r="H25" s="223">
        <v>113.99</v>
      </c>
      <c r="I25" s="225">
        <v>4.9114390348987506E-2</v>
      </c>
      <c r="J25" s="223">
        <v>0</v>
      </c>
      <c r="K25" s="223">
        <v>0</v>
      </c>
      <c r="L25" s="225">
        <v>0</v>
      </c>
    </row>
    <row r="26" spans="2:12">
      <c r="B26" s="222">
        <v>46292</v>
      </c>
      <c r="C26" s="222">
        <v>46298</v>
      </c>
      <c r="D26" s="223">
        <v>78</v>
      </c>
      <c r="E26" s="223">
        <v>1289</v>
      </c>
      <c r="F26" s="225">
        <v>0.5553640672124085</v>
      </c>
      <c r="G26" s="223">
        <v>0</v>
      </c>
      <c r="H26" s="223">
        <v>113.99</v>
      </c>
      <c r="I26" s="225">
        <v>4.9114390348987506E-2</v>
      </c>
      <c r="J26" s="223">
        <v>0</v>
      </c>
      <c r="K26" s="223">
        <v>0</v>
      </c>
      <c r="L26" s="225">
        <v>0</v>
      </c>
    </row>
    <row r="27" spans="2:12">
      <c r="B27" s="222">
        <v>46299</v>
      </c>
      <c r="C27" s="222">
        <v>46305</v>
      </c>
      <c r="D27" s="223">
        <v>48</v>
      </c>
      <c r="E27" s="223">
        <v>1337</v>
      </c>
      <c r="F27" s="225">
        <v>0.57604480827229643</v>
      </c>
      <c r="G27" s="223">
        <v>0</v>
      </c>
      <c r="H27" s="223">
        <v>113.99</v>
      </c>
      <c r="I27" s="225">
        <v>4.9114390348987506E-2</v>
      </c>
      <c r="J27" s="223">
        <v>0</v>
      </c>
      <c r="K27" s="223">
        <v>0</v>
      </c>
      <c r="L27" s="225">
        <v>0</v>
      </c>
    </row>
    <row r="28" spans="2:12">
      <c r="B28" s="222">
        <v>46306</v>
      </c>
      <c r="C28" s="222">
        <v>46312</v>
      </c>
      <c r="D28" s="223">
        <v>85</v>
      </c>
      <c r="E28" s="223">
        <v>1422</v>
      </c>
      <c r="F28" s="225">
        <v>0.61266695389918135</v>
      </c>
      <c r="G28" s="223">
        <v>0</v>
      </c>
      <c r="H28" s="223">
        <v>113.99</v>
      </c>
      <c r="I28" s="225">
        <v>4.9114390348987506E-2</v>
      </c>
      <c r="J28" s="223">
        <v>0</v>
      </c>
      <c r="K28" s="223">
        <v>0</v>
      </c>
      <c r="L28" s="225">
        <v>0</v>
      </c>
    </row>
    <row r="29" spans="2:12">
      <c r="B29" s="222">
        <v>46313</v>
      </c>
      <c r="C29" s="222">
        <v>46319</v>
      </c>
      <c r="D29" s="223">
        <v>84</v>
      </c>
      <c r="E29" s="223">
        <v>1506</v>
      </c>
      <c r="F29" s="225">
        <v>0.6488582507539854</v>
      </c>
      <c r="G29" s="223">
        <v>0</v>
      </c>
      <c r="H29" s="223">
        <v>113.99</v>
      </c>
      <c r="I29" s="225">
        <v>4.9114390348987506E-2</v>
      </c>
      <c r="J29" s="223">
        <v>0</v>
      </c>
      <c r="K29" s="223">
        <v>0</v>
      </c>
      <c r="L29" s="225">
        <v>0</v>
      </c>
    </row>
    <row r="30" spans="2:12">
      <c r="B30" s="222">
        <v>46320</v>
      </c>
      <c r="C30" s="222">
        <v>46326</v>
      </c>
      <c r="D30" s="223">
        <v>80</v>
      </c>
      <c r="E30" s="223">
        <v>1586</v>
      </c>
      <c r="F30" s="225">
        <v>0.68332615252046536</v>
      </c>
      <c r="G30" s="223">
        <v>0</v>
      </c>
      <c r="H30" s="223">
        <v>113.99</v>
      </c>
      <c r="I30" s="225">
        <v>4.9114390348987506E-2</v>
      </c>
      <c r="J30" s="223">
        <v>0</v>
      </c>
      <c r="K30" s="223">
        <v>0</v>
      </c>
      <c r="L30" s="225">
        <v>0</v>
      </c>
    </row>
    <row r="31" spans="2:12">
      <c r="B31" s="222">
        <v>46327</v>
      </c>
      <c r="C31" s="222">
        <v>46333</v>
      </c>
      <c r="D31" s="223">
        <v>115</v>
      </c>
      <c r="E31" s="223">
        <v>1701</v>
      </c>
      <c r="F31" s="225">
        <v>0.73287376130978021</v>
      </c>
      <c r="G31" s="223">
        <v>0</v>
      </c>
      <c r="H31" s="223">
        <v>113.99</v>
      </c>
      <c r="I31" s="225">
        <v>4.9114390348987506E-2</v>
      </c>
      <c r="J31" s="223">
        <v>0</v>
      </c>
      <c r="K31" s="223">
        <v>0</v>
      </c>
      <c r="L31" s="225">
        <v>0</v>
      </c>
    </row>
    <row r="32" spans="2:12">
      <c r="B32" s="222">
        <v>46334</v>
      </c>
      <c r="C32" s="222">
        <v>46340</v>
      </c>
      <c r="D32" s="223">
        <v>115</v>
      </c>
      <c r="E32" s="223">
        <v>1816</v>
      </c>
      <c r="F32" s="225">
        <v>0.78242137009909518</v>
      </c>
      <c r="G32" s="223">
        <v>0</v>
      </c>
      <c r="H32" s="223">
        <v>113.99</v>
      </c>
      <c r="I32" s="225">
        <v>4.9114390348987506E-2</v>
      </c>
      <c r="J32" s="223">
        <v>0</v>
      </c>
      <c r="K32" s="223">
        <v>0</v>
      </c>
      <c r="L32" s="225">
        <v>0</v>
      </c>
    </row>
    <row r="33" spans="2:12">
      <c r="B33" s="222">
        <v>46341</v>
      </c>
      <c r="C33" s="222">
        <v>46347</v>
      </c>
      <c r="D33" s="223">
        <v>120</v>
      </c>
      <c r="E33" s="223">
        <v>1936</v>
      </c>
      <c r="F33" s="225">
        <v>0.83412322274881512</v>
      </c>
      <c r="G33" s="223">
        <v>0</v>
      </c>
      <c r="H33" s="223">
        <v>113.99</v>
      </c>
      <c r="I33" s="225">
        <v>4.9114390348987506E-2</v>
      </c>
      <c r="J33" s="223">
        <v>0</v>
      </c>
      <c r="K33" s="223">
        <v>0</v>
      </c>
      <c r="L33" s="225">
        <v>0</v>
      </c>
    </row>
    <row r="34" spans="2:12">
      <c r="B34" s="222">
        <v>46348</v>
      </c>
      <c r="C34" s="222">
        <v>46354</v>
      </c>
      <c r="D34" s="223">
        <v>120</v>
      </c>
      <c r="E34" s="223">
        <v>2056</v>
      </c>
      <c r="F34" s="225">
        <v>0.88582507539853517</v>
      </c>
      <c r="G34" s="223">
        <v>0</v>
      </c>
      <c r="H34" s="223">
        <v>113.99</v>
      </c>
      <c r="I34" s="225">
        <v>4.9114390348987506E-2</v>
      </c>
      <c r="J34" s="223">
        <v>0</v>
      </c>
      <c r="K34" s="223">
        <v>0</v>
      </c>
      <c r="L34" s="225">
        <v>0</v>
      </c>
    </row>
    <row r="35" spans="2:12">
      <c r="B35" s="222">
        <v>46355</v>
      </c>
      <c r="C35" s="222">
        <v>46361</v>
      </c>
      <c r="D35" s="223">
        <v>75</v>
      </c>
      <c r="E35" s="223">
        <v>2131</v>
      </c>
      <c r="F35" s="225">
        <v>0.91813873330461004</v>
      </c>
      <c r="G35" s="223">
        <v>0</v>
      </c>
      <c r="H35" s="223">
        <v>113.99</v>
      </c>
      <c r="I35" s="225">
        <v>4.9114390348987506E-2</v>
      </c>
      <c r="J35" s="223">
        <v>0</v>
      </c>
      <c r="K35" s="223">
        <v>0</v>
      </c>
      <c r="L35" s="225">
        <v>0</v>
      </c>
    </row>
    <row r="36" spans="2:12">
      <c r="B36" s="222">
        <v>46362</v>
      </c>
      <c r="C36" s="222">
        <v>46368</v>
      </c>
      <c r="D36" s="223">
        <v>62</v>
      </c>
      <c r="E36" s="223">
        <v>2193</v>
      </c>
      <c r="F36" s="225">
        <v>0.944851357173632</v>
      </c>
      <c r="G36" s="223">
        <v>0</v>
      </c>
      <c r="H36" s="223">
        <v>113.99</v>
      </c>
      <c r="I36" s="225">
        <v>4.9114390348987506E-2</v>
      </c>
      <c r="J36" s="223">
        <v>0</v>
      </c>
      <c r="K36" s="223">
        <v>0</v>
      </c>
      <c r="L36" s="225">
        <v>0</v>
      </c>
    </row>
    <row r="37" spans="2:12">
      <c r="B37" s="222">
        <v>46369</v>
      </c>
      <c r="C37" s="222">
        <v>46375</v>
      </c>
      <c r="D37" s="223">
        <v>50</v>
      </c>
      <c r="E37" s="223">
        <v>2243</v>
      </c>
      <c r="F37" s="225">
        <v>0.96639379577768203</v>
      </c>
      <c r="G37" s="223">
        <v>0</v>
      </c>
      <c r="H37" s="223">
        <v>113.99</v>
      </c>
      <c r="I37" s="225">
        <v>4.9114390348987506E-2</v>
      </c>
      <c r="J37" s="223">
        <v>0</v>
      </c>
      <c r="K37" s="223">
        <v>0</v>
      </c>
      <c r="L37" s="225">
        <v>0</v>
      </c>
    </row>
    <row r="38" spans="2:12">
      <c r="B38" s="222">
        <v>46376</v>
      </c>
      <c r="C38" s="222">
        <v>46382</v>
      </c>
      <c r="D38" s="223">
        <v>40</v>
      </c>
      <c r="E38" s="223">
        <v>2283</v>
      </c>
      <c r="F38" s="225">
        <v>0.98362774666092201</v>
      </c>
      <c r="G38" s="223">
        <v>0</v>
      </c>
      <c r="H38" s="223">
        <v>113.99</v>
      </c>
      <c r="I38" s="225">
        <v>4.9114390348987506E-2</v>
      </c>
      <c r="J38" s="223">
        <v>0</v>
      </c>
      <c r="K38" s="223">
        <v>0</v>
      </c>
      <c r="L38" s="225">
        <v>0</v>
      </c>
    </row>
    <row r="39" spans="2:12">
      <c r="B39" s="222">
        <v>46383</v>
      </c>
      <c r="C39" s="222">
        <v>46387</v>
      </c>
      <c r="D39" s="223">
        <v>38</v>
      </c>
      <c r="E39" s="223">
        <v>2321</v>
      </c>
      <c r="F39" s="225">
        <v>1</v>
      </c>
      <c r="G39" s="223">
        <v>0</v>
      </c>
      <c r="H39" s="223">
        <v>113.99</v>
      </c>
      <c r="I39" s="225">
        <v>4.9114390348987506E-2</v>
      </c>
      <c r="J39" s="223">
        <v>0</v>
      </c>
      <c r="K39" s="223">
        <v>0</v>
      </c>
      <c r="L39" s="225">
        <v>0</v>
      </c>
    </row>
  </sheetData>
  <sortState xmlns:xlrd2="http://schemas.microsoft.com/office/spreadsheetml/2017/richdata2"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2" tint="-9.9978637043366805E-2"/>
  </sheetPr>
  <dimension ref="A1:K228"/>
  <sheetViews>
    <sheetView topLeftCell="B1" zoomScale="85" zoomScaleNormal="85" workbookViewId="0"/>
  </sheetViews>
  <sheetFormatPr defaultRowHeight="17"/>
  <cols>
    <col min="1" max="1" width="11.58203125" bestFit="1" customWidth="1"/>
    <col min="2" max="2" width="5.5" bestFit="1" customWidth="1"/>
    <col min="3" max="4" width="26.33203125" bestFit="1" customWidth="1"/>
    <col min="5" max="5" width="18.08203125" bestFit="1" customWidth="1"/>
    <col min="6" max="7" width="24.25" bestFit="1" customWidth="1"/>
    <col min="8" max="8" width="16.08203125" bestFit="1" customWidth="1"/>
    <col min="9" max="10" width="30.5" bestFit="1" customWidth="1"/>
    <col min="11" max="11" width="22.25" bestFit="1" customWidth="1"/>
  </cols>
  <sheetData>
    <row r="1" spans="1:11">
      <c r="A1" s="202" t="s">
        <v>1483</v>
      </c>
      <c r="B1" s="202" t="s">
        <v>1484</v>
      </c>
      <c r="C1" s="202" t="s">
        <v>1433</v>
      </c>
      <c r="D1" s="202" t="s">
        <v>1479</v>
      </c>
      <c r="E1" s="202" t="s">
        <v>1340</v>
      </c>
      <c r="F1" s="202" t="s">
        <v>1434</v>
      </c>
      <c r="G1" s="202" t="s">
        <v>1480</v>
      </c>
      <c r="H1" s="202" t="s">
        <v>1336</v>
      </c>
      <c r="I1" s="202" t="s">
        <v>1485</v>
      </c>
      <c r="J1" s="202" t="s">
        <v>1481</v>
      </c>
      <c r="K1" s="202" t="s">
        <v>1482</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4.5"/>
  <cols>
    <col min="1" max="1" width="31.58203125" style="62" customWidth="1"/>
    <col min="2" max="2" width="14.5" style="62" customWidth="1"/>
    <col min="3" max="3" width="7.58203125" style="62" customWidth="1"/>
    <col min="4" max="4" width="21.5" style="62" customWidth="1"/>
    <col min="5" max="5" width="14.08203125" style="62" customWidth="1"/>
    <col min="6" max="6" width="11.58203125" style="62" bestFit="1" customWidth="1"/>
    <col min="7" max="7" width="24.25" style="62" customWidth="1"/>
    <col min="8" max="8" width="18.33203125" style="62" bestFit="1" customWidth="1"/>
    <col min="9" max="9" width="11.08203125" style="62" bestFit="1" customWidth="1"/>
    <col min="10" max="10" width="27.33203125" style="62" bestFit="1" customWidth="1"/>
    <col min="11" max="19" width="10" style="62"/>
    <col min="20" max="23" width="10" style="62" customWidth="1"/>
    <col min="24" max="26" width="10" style="62"/>
    <col min="27" max="27" width="0" style="62" hidden="1" customWidth="1"/>
    <col min="28" max="16384" width="10" style="62"/>
  </cols>
  <sheetData>
    <row r="1" spans="1:9" ht="37" customHeight="1">
      <c r="A1" s="1" t="s">
        <v>1580</v>
      </c>
      <c r="B1" s="1"/>
      <c r="C1" s="1"/>
      <c r="D1" s="1"/>
      <c r="E1" s="1"/>
      <c r="F1" s="1"/>
      <c r="G1" s="1"/>
      <c r="H1" s="1"/>
    </row>
    <row r="2" spans="1:9" s="63" customFormat="1" ht="78.75" customHeight="1">
      <c r="A2" s="316" t="s">
        <v>1581</v>
      </c>
      <c r="B2" s="317"/>
      <c r="C2" s="317"/>
      <c r="D2" s="317"/>
      <c r="E2" s="317"/>
      <c r="F2" s="317"/>
      <c r="G2" s="317"/>
      <c r="H2" s="317"/>
    </row>
    <row r="3" spans="1:9" s="63" customFormat="1" ht="24.75" customHeight="1">
      <c r="A3" s="318" t="s">
        <v>1582</v>
      </c>
      <c r="B3" s="318"/>
      <c r="D3" s="318" t="s">
        <v>1583</v>
      </c>
      <c r="E3" s="318"/>
      <c r="G3" s="318" t="s">
        <v>1584</v>
      </c>
      <c r="H3" s="318"/>
    </row>
    <row r="4" spans="1:9" s="65" customFormat="1" ht="19.5" customHeight="1">
      <c r="A4" s="64" t="s">
        <v>1585</v>
      </c>
      <c r="B4" s="64" t="s">
        <v>1586</v>
      </c>
      <c r="D4" s="64" t="s">
        <v>1585</v>
      </c>
      <c r="E4" s="64" t="s">
        <v>1586</v>
      </c>
      <c r="G4" s="64" t="s">
        <v>1585</v>
      </c>
      <c r="H4" s="64" t="s">
        <v>1586</v>
      </c>
    </row>
    <row r="5" spans="1:9" s="73" customFormat="1" ht="17">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7">
      <c r="A6" s="71" t="s">
        <v>1407</v>
      </c>
      <c r="B6" s="72">
        <v>45684</v>
      </c>
      <c r="C6" s="73" t="str">
        <f t="shared" si="0"/>
        <v>(월)</v>
      </c>
      <c r="D6" s="71"/>
      <c r="E6" s="72"/>
      <c r="F6" s="73" t="str">
        <f t="shared" si="1"/>
        <v/>
      </c>
      <c r="G6" s="71"/>
      <c r="H6" s="72"/>
      <c r="I6" s="73" t="str">
        <f t="shared" si="2"/>
        <v/>
      </c>
    </row>
    <row r="7" spans="1:9" s="73" customFormat="1" ht="17">
      <c r="A7" s="71" t="s">
        <v>1408</v>
      </c>
      <c r="B7" s="72">
        <v>45685</v>
      </c>
      <c r="C7" s="73" t="str">
        <f t="shared" si="0"/>
        <v>(화)</v>
      </c>
      <c r="D7" s="71"/>
      <c r="E7" s="72"/>
      <c r="F7" s="73" t="str">
        <f t="shared" si="1"/>
        <v/>
      </c>
      <c r="G7" s="71"/>
      <c r="H7" s="72"/>
      <c r="I7" s="73" t="str">
        <f t="shared" si="2"/>
        <v/>
      </c>
    </row>
    <row r="8" spans="1:9" s="73" customFormat="1" ht="17">
      <c r="A8" s="71" t="s">
        <v>1409</v>
      </c>
      <c r="B8" s="72">
        <v>45686</v>
      </c>
      <c r="C8" s="73" t="str">
        <f t="shared" si="0"/>
        <v>(수)</v>
      </c>
      <c r="D8" s="71"/>
      <c r="E8" s="72"/>
      <c r="F8" s="73" t="str">
        <f t="shared" si="1"/>
        <v/>
      </c>
      <c r="G8" s="71"/>
      <c r="H8" s="72"/>
      <c r="I8" s="73" t="str">
        <f t="shared" si="2"/>
        <v/>
      </c>
    </row>
    <row r="9" spans="1:9" s="73" customFormat="1" ht="17">
      <c r="A9" s="71" t="s">
        <v>1408</v>
      </c>
      <c r="B9" s="72">
        <v>45687</v>
      </c>
      <c r="C9" s="73" t="str">
        <f t="shared" si="0"/>
        <v>(목)</v>
      </c>
      <c r="D9" s="71"/>
      <c r="E9" s="72"/>
      <c r="F9" s="73" t="str">
        <f t="shared" si="1"/>
        <v/>
      </c>
      <c r="G9" s="71"/>
      <c r="H9" s="72"/>
      <c r="I9" s="73" t="str">
        <f t="shared" si="2"/>
        <v/>
      </c>
    </row>
    <row r="10" spans="1:9" s="73" customFormat="1" ht="17">
      <c r="A10" s="71" t="s">
        <v>1500</v>
      </c>
      <c r="B10" s="72">
        <v>45719</v>
      </c>
      <c r="C10" s="73" t="str">
        <f t="shared" si="0"/>
        <v>(월)</v>
      </c>
      <c r="D10" s="71"/>
      <c r="E10" s="72"/>
      <c r="F10" s="73" t="str">
        <f t="shared" si="1"/>
        <v/>
      </c>
      <c r="G10" s="71"/>
      <c r="H10" s="72"/>
      <c r="I10" s="73" t="str">
        <f t="shared" si="2"/>
        <v/>
      </c>
    </row>
    <row r="11" spans="1:9" s="73" customFormat="1" ht="17">
      <c r="A11" s="71" t="s">
        <v>1410</v>
      </c>
      <c r="B11" s="72">
        <v>45782</v>
      </c>
      <c r="C11" s="73" t="str">
        <f t="shared" si="0"/>
        <v>(월)</v>
      </c>
      <c r="D11" s="71"/>
      <c r="E11" s="72"/>
      <c r="F11" s="73" t="str">
        <f t="shared" si="1"/>
        <v/>
      </c>
      <c r="G11" s="71"/>
      <c r="H11" s="72"/>
      <c r="I11" s="73" t="str">
        <f t="shared" si="2"/>
        <v/>
      </c>
    </row>
    <row r="12" spans="1:9" s="73" customFormat="1" ht="17">
      <c r="A12" s="71" t="s">
        <v>1501</v>
      </c>
      <c r="B12" s="72">
        <v>45783</v>
      </c>
      <c r="C12" s="73" t="str">
        <f t="shared" si="0"/>
        <v>(화)</v>
      </c>
      <c r="D12" s="71"/>
      <c r="E12" s="72"/>
      <c r="F12" s="73" t="str">
        <f t="shared" si="1"/>
        <v/>
      </c>
      <c r="G12" s="71"/>
      <c r="H12" s="72"/>
      <c r="I12" s="73" t="str">
        <f t="shared" si="2"/>
        <v/>
      </c>
    </row>
    <row r="13" spans="1:9" s="73" customFormat="1" ht="17">
      <c r="A13" s="71" t="s">
        <v>1425</v>
      </c>
      <c r="B13" s="72">
        <v>45811</v>
      </c>
      <c r="C13" s="73" t="str">
        <f t="shared" si="0"/>
        <v>(화)</v>
      </c>
      <c r="D13" s="71"/>
      <c r="E13" s="72"/>
      <c r="F13" s="73" t="str">
        <f t="shared" si="1"/>
        <v/>
      </c>
      <c r="G13" s="71"/>
      <c r="H13" s="72"/>
      <c r="I13" s="73" t="str">
        <f t="shared" si="2"/>
        <v/>
      </c>
    </row>
    <row r="14" spans="1:9" s="73" customFormat="1" ht="17">
      <c r="A14" s="71" t="s">
        <v>1426</v>
      </c>
      <c r="B14" s="72">
        <v>45814</v>
      </c>
      <c r="C14" s="73" t="str">
        <f t="shared" si="0"/>
        <v>(금)</v>
      </c>
      <c r="D14" s="71"/>
      <c r="E14" s="72"/>
      <c r="F14" s="73" t="str">
        <f t="shared" si="1"/>
        <v/>
      </c>
      <c r="G14" s="71"/>
      <c r="H14" s="72"/>
      <c r="I14" s="73" t="str">
        <f t="shared" si="2"/>
        <v/>
      </c>
    </row>
    <row r="15" spans="1:9" s="73" customFormat="1" ht="17">
      <c r="A15" s="71" t="s">
        <v>1427</v>
      </c>
      <c r="B15" s="72">
        <v>45884</v>
      </c>
      <c r="C15" s="73" t="str">
        <f t="shared" si="0"/>
        <v>(금)</v>
      </c>
      <c r="D15" s="71"/>
      <c r="E15" s="72"/>
      <c r="F15" s="73" t="str">
        <f t="shared" si="1"/>
        <v/>
      </c>
      <c r="G15" s="71"/>
      <c r="H15" s="72"/>
      <c r="I15" s="73" t="str">
        <f t="shared" si="2"/>
        <v/>
      </c>
    </row>
    <row r="16" spans="1:9" s="73" customFormat="1" ht="17">
      <c r="A16" s="71" t="s">
        <v>1411</v>
      </c>
      <c r="B16" s="72">
        <v>45933</v>
      </c>
      <c r="C16" s="73" t="str">
        <f t="shared" si="0"/>
        <v>(금)</v>
      </c>
      <c r="D16" s="71"/>
      <c r="E16" s="72"/>
      <c r="F16" s="73" t="str">
        <f t="shared" si="1"/>
        <v/>
      </c>
      <c r="G16" s="71"/>
      <c r="H16" s="72"/>
      <c r="I16" s="73" t="str">
        <f t="shared" si="2"/>
        <v/>
      </c>
    </row>
    <row r="17" spans="1:10" s="73" customFormat="1" ht="17">
      <c r="A17" s="71" t="s">
        <v>1412</v>
      </c>
      <c r="B17" s="72">
        <v>45936</v>
      </c>
      <c r="C17" s="73" t="str">
        <f t="shared" si="0"/>
        <v>(월)</v>
      </c>
      <c r="D17" s="71"/>
      <c r="E17" s="72"/>
      <c r="F17" s="73" t="str">
        <f t="shared" si="1"/>
        <v/>
      </c>
      <c r="G17" s="71"/>
      <c r="H17" s="72"/>
      <c r="I17" s="73" t="str">
        <f t="shared" si="2"/>
        <v/>
      </c>
    </row>
    <row r="18" spans="1:10" s="73" customFormat="1" ht="17">
      <c r="A18" s="71" t="s">
        <v>1413</v>
      </c>
      <c r="B18" s="72">
        <v>45937</v>
      </c>
      <c r="C18" s="73" t="str">
        <f t="shared" si="0"/>
        <v>(화)</v>
      </c>
      <c r="D18" s="71"/>
      <c r="E18" s="72"/>
      <c r="F18" s="73" t="str">
        <f t="shared" si="1"/>
        <v/>
      </c>
      <c r="G18" s="71"/>
      <c r="H18" s="72"/>
      <c r="I18" s="73" t="str">
        <f t="shared" si="2"/>
        <v/>
      </c>
    </row>
    <row r="19" spans="1:10" s="73" customFormat="1" ht="17.5">
      <c r="A19" s="71" t="s">
        <v>1502</v>
      </c>
      <c r="B19" s="72">
        <v>45938</v>
      </c>
      <c r="C19" s="73" t="str">
        <f t="shared" si="0"/>
        <v>(수)</v>
      </c>
      <c r="D19" s="71"/>
      <c r="E19" s="72"/>
      <c r="F19" s="73" t="str">
        <f t="shared" si="1"/>
        <v/>
      </c>
      <c r="G19" s="71"/>
      <c r="H19" s="72"/>
      <c r="I19" s="73" t="str">
        <f t="shared" si="2"/>
        <v/>
      </c>
      <c r="J19" s="74"/>
    </row>
    <row r="20" spans="1:10" s="73" customFormat="1" ht="17.5">
      <c r="A20" s="71" t="s">
        <v>1414</v>
      </c>
      <c r="B20" s="72">
        <v>45939</v>
      </c>
      <c r="C20" s="73" t="str">
        <f t="shared" si="0"/>
        <v>(목)</v>
      </c>
      <c r="D20" s="71"/>
      <c r="E20" s="72"/>
      <c r="F20" s="73" t="str">
        <f t="shared" si="1"/>
        <v/>
      </c>
      <c r="G20" s="71"/>
      <c r="H20" s="72"/>
      <c r="I20" s="73" t="str">
        <f t="shared" si="2"/>
        <v/>
      </c>
      <c r="J20" s="74"/>
    </row>
    <row r="21" spans="1:10" s="73" customFormat="1" ht="17">
      <c r="A21" s="71" t="s">
        <v>1422</v>
      </c>
      <c r="B21" s="72">
        <v>46016</v>
      </c>
      <c r="C21" s="73" t="str">
        <f t="shared" si="0"/>
        <v>(목)</v>
      </c>
      <c r="D21" s="71"/>
      <c r="E21" s="72"/>
      <c r="F21" s="73" t="str">
        <f t="shared" si="1"/>
        <v/>
      </c>
      <c r="G21" s="71"/>
      <c r="H21" s="72"/>
      <c r="I21" s="73" t="str">
        <f t="shared" si="2"/>
        <v/>
      </c>
    </row>
    <row r="22" spans="1:10" s="73" customFormat="1" ht="17">
      <c r="A22" s="71" t="s">
        <v>1423</v>
      </c>
      <c r="B22" s="72">
        <v>46023</v>
      </c>
      <c r="C22" s="73" t="str">
        <f t="shared" si="0"/>
        <v>(목)</v>
      </c>
      <c r="D22" s="71"/>
      <c r="E22" s="72"/>
      <c r="F22" s="73" t="str">
        <f t="shared" si="1"/>
        <v/>
      </c>
      <c r="G22" s="71"/>
      <c r="H22" s="72"/>
      <c r="I22" s="73" t="str">
        <f t="shared" si="2"/>
        <v/>
      </c>
    </row>
    <row r="23" spans="1:10" s="73" customFormat="1" ht="17">
      <c r="A23" s="71" t="s">
        <v>1416</v>
      </c>
      <c r="B23" s="72">
        <v>46069</v>
      </c>
      <c r="C23" s="73" t="str">
        <f t="shared" si="0"/>
        <v>(월)</v>
      </c>
      <c r="D23" s="71"/>
      <c r="E23" s="72"/>
      <c r="F23" s="73" t="str">
        <f t="shared" si="1"/>
        <v/>
      </c>
      <c r="G23" s="71"/>
      <c r="H23" s="72"/>
      <c r="I23" s="73" t="str">
        <f t="shared" si="2"/>
        <v/>
      </c>
    </row>
    <row r="24" spans="1:10" s="73" customFormat="1" ht="17">
      <c r="A24" s="71" t="s">
        <v>1415</v>
      </c>
      <c r="B24" s="72">
        <v>46070</v>
      </c>
      <c r="C24" s="73" t="str">
        <f t="shared" si="0"/>
        <v>(화)</v>
      </c>
      <c r="D24" s="71"/>
      <c r="E24" s="72"/>
      <c r="F24" s="73" t="str">
        <f t="shared" si="1"/>
        <v/>
      </c>
      <c r="G24" s="71"/>
      <c r="H24" s="72"/>
      <c r="I24" s="73" t="str">
        <f t="shared" si="2"/>
        <v/>
      </c>
    </row>
    <row r="25" spans="1:10" s="73" customFormat="1" ht="17">
      <c r="A25" s="71" t="s">
        <v>1416</v>
      </c>
      <c r="B25" s="72">
        <v>46071</v>
      </c>
      <c r="C25" s="73" t="str">
        <f t="shared" si="0"/>
        <v>(수)</v>
      </c>
      <c r="D25" s="71"/>
      <c r="E25" s="72"/>
      <c r="F25" s="73" t="str">
        <f t="shared" si="1"/>
        <v/>
      </c>
      <c r="G25" s="71"/>
      <c r="H25" s="72"/>
      <c r="I25" s="73" t="str">
        <f t="shared" si="2"/>
        <v/>
      </c>
    </row>
    <row r="26" spans="1:10" s="73" customFormat="1" ht="17">
      <c r="A26" s="71" t="s">
        <v>1503</v>
      </c>
      <c r="B26" s="72">
        <v>46083</v>
      </c>
      <c r="C26" s="73" t="str">
        <f t="shared" si="0"/>
        <v>(월)</v>
      </c>
      <c r="D26" s="71"/>
      <c r="E26" s="72"/>
      <c r="F26" s="73" t="str">
        <f t="shared" si="1"/>
        <v/>
      </c>
      <c r="G26" s="71"/>
      <c r="H26" s="72"/>
      <c r="I26" s="73" t="str">
        <f t="shared" si="2"/>
        <v/>
      </c>
    </row>
    <row r="27" spans="1:10" s="73" customFormat="1" ht="17">
      <c r="A27" s="71" t="s">
        <v>1417</v>
      </c>
      <c r="B27" s="72">
        <v>46147</v>
      </c>
      <c r="C27" s="73" t="str">
        <f t="shared" si="0"/>
        <v>(화)</v>
      </c>
      <c r="D27" s="71"/>
      <c r="E27" s="72"/>
      <c r="F27" s="73" t="str">
        <f t="shared" si="1"/>
        <v/>
      </c>
      <c r="G27" s="71"/>
      <c r="H27" s="72"/>
      <c r="I27" s="73" t="str">
        <f t="shared" si="2"/>
        <v/>
      </c>
    </row>
    <row r="28" spans="1:10" s="73" customFormat="1" ht="17">
      <c r="A28" s="71" t="s">
        <v>1504</v>
      </c>
      <c r="B28" s="72">
        <v>46167</v>
      </c>
      <c r="C28" s="73" t="str">
        <f t="shared" si="0"/>
        <v>(월)</v>
      </c>
      <c r="D28" s="71"/>
      <c r="E28" s="72"/>
      <c r="F28" s="73" t="str">
        <f t="shared" si="1"/>
        <v/>
      </c>
      <c r="G28" s="71"/>
      <c r="H28" s="72"/>
      <c r="I28" s="73" t="str">
        <f t="shared" si="2"/>
        <v/>
      </c>
    </row>
    <row r="29" spans="1:10" s="73" customFormat="1" ht="17">
      <c r="A29" s="71" t="s">
        <v>1486</v>
      </c>
      <c r="B29" s="72">
        <v>46176</v>
      </c>
      <c r="C29" s="73" t="str">
        <f t="shared" si="0"/>
        <v>(수)</v>
      </c>
      <c r="D29" s="71"/>
      <c r="E29" s="72"/>
      <c r="F29" s="73" t="str">
        <f t="shared" si="1"/>
        <v/>
      </c>
      <c r="G29" s="71"/>
      <c r="H29" s="72"/>
      <c r="I29" s="73" t="str">
        <f t="shared" si="2"/>
        <v/>
      </c>
    </row>
    <row r="30" spans="1:10" s="73" customFormat="1" ht="17">
      <c r="A30" s="71" t="s">
        <v>1487</v>
      </c>
      <c r="B30" s="72">
        <v>46220</v>
      </c>
      <c r="C30" s="73" t="str">
        <f t="shared" si="0"/>
        <v>(금)</v>
      </c>
      <c r="D30" s="71"/>
      <c r="E30" s="72"/>
      <c r="F30" s="73" t="str">
        <f t="shared" si="1"/>
        <v/>
      </c>
      <c r="G30" s="71"/>
      <c r="H30" s="72"/>
      <c r="I30" s="73" t="str">
        <f t="shared" si="2"/>
        <v/>
      </c>
    </row>
    <row r="31" spans="1:10" s="73" customFormat="1" ht="17">
      <c r="A31" s="71" t="s">
        <v>1505</v>
      </c>
      <c r="B31" s="72">
        <v>46251</v>
      </c>
      <c r="C31" s="73" t="str">
        <f t="shared" si="0"/>
        <v>(월)</v>
      </c>
      <c r="D31" s="71"/>
      <c r="E31" s="72"/>
      <c r="F31" s="73" t="str">
        <f t="shared" si="1"/>
        <v/>
      </c>
      <c r="G31" s="71"/>
      <c r="H31" s="72"/>
      <c r="I31" s="73" t="str">
        <f t="shared" si="2"/>
        <v/>
      </c>
    </row>
    <row r="32" spans="1:10" s="73" customFormat="1" ht="17">
      <c r="A32" s="71" t="s">
        <v>1418</v>
      </c>
      <c r="B32" s="72">
        <v>46289</v>
      </c>
      <c r="C32" s="73" t="str">
        <f t="shared" si="0"/>
        <v>(목)</v>
      </c>
      <c r="D32" s="71"/>
      <c r="E32" s="72"/>
      <c r="F32" s="73" t="str">
        <f t="shared" si="1"/>
        <v/>
      </c>
      <c r="G32" s="71"/>
      <c r="H32" s="72"/>
      <c r="I32" s="73" t="str">
        <f t="shared" si="2"/>
        <v/>
      </c>
    </row>
    <row r="33" spans="1:9" s="73" customFormat="1" ht="17">
      <c r="A33" s="71" t="s">
        <v>1419</v>
      </c>
      <c r="B33" s="72">
        <v>46290</v>
      </c>
      <c r="C33" s="73" t="str">
        <f t="shared" si="0"/>
        <v>(금)</v>
      </c>
      <c r="D33" s="71"/>
      <c r="E33" s="72"/>
      <c r="F33" s="73" t="str">
        <f t="shared" si="1"/>
        <v/>
      </c>
      <c r="G33" s="71"/>
      <c r="H33" s="72"/>
      <c r="I33" s="73" t="str">
        <f t="shared" si="2"/>
        <v/>
      </c>
    </row>
    <row r="34" spans="1:9" s="73" customFormat="1" ht="17">
      <c r="A34" s="71" t="s">
        <v>1506</v>
      </c>
      <c r="B34" s="72">
        <v>46300</v>
      </c>
      <c r="C34" s="73" t="str">
        <f t="shared" si="0"/>
        <v>(월)</v>
      </c>
      <c r="D34" s="71"/>
      <c r="E34" s="72"/>
      <c r="F34" s="73" t="str">
        <f t="shared" si="1"/>
        <v/>
      </c>
      <c r="G34" s="71"/>
      <c r="H34" s="72"/>
      <c r="I34" s="73" t="str">
        <f t="shared" si="2"/>
        <v/>
      </c>
    </row>
    <row r="35" spans="1:9" s="73" customFormat="1" ht="17">
      <c r="A35" s="71" t="s">
        <v>1420</v>
      </c>
      <c r="B35" s="72">
        <v>46304</v>
      </c>
      <c r="C35" s="73" t="str">
        <f t="shared" si="0"/>
        <v>(금)</v>
      </c>
      <c r="D35" s="71"/>
      <c r="E35" s="72"/>
      <c r="F35" s="73" t="str">
        <f t="shared" si="1"/>
        <v/>
      </c>
      <c r="G35" s="71"/>
      <c r="H35" s="72"/>
      <c r="I35" s="73" t="str">
        <f t="shared" si="2"/>
        <v/>
      </c>
    </row>
    <row r="36" spans="1:9" s="73" customFormat="1" ht="17">
      <c r="A36" s="71" t="s">
        <v>1424</v>
      </c>
      <c r="B36" s="72">
        <v>46381</v>
      </c>
      <c r="C36" s="73" t="str">
        <f t="shared" si="0"/>
        <v>(금)</v>
      </c>
      <c r="D36" s="71"/>
      <c r="E36" s="72"/>
      <c r="F36" s="73" t="str">
        <f t="shared" si="1"/>
        <v/>
      </c>
      <c r="G36" s="71"/>
      <c r="H36" s="72"/>
      <c r="I36" s="73" t="str">
        <f t="shared" si="2"/>
        <v/>
      </c>
    </row>
    <row r="37" spans="1:9" s="73" customFormat="1" ht="17">
      <c r="A37" s="71" t="s">
        <v>1488</v>
      </c>
      <c r="B37" s="72">
        <v>46388</v>
      </c>
      <c r="C37" s="73" t="str">
        <f t="shared" si="0"/>
        <v>(금)</v>
      </c>
      <c r="D37" s="71"/>
      <c r="E37" s="72"/>
      <c r="F37" s="73" t="str">
        <f t="shared" si="1"/>
        <v/>
      </c>
      <c r="G37" s="71"/>
      <c r="H37" s="72"/>
      <c r="I37" s="73" t="str">
        <f t="shared" si="2"/>
        <v/>
      </c>
    </row>
    <row r="38" spans="1:9" s="73" customFormat="1" ht="17">
      <c r="A38" s="71" t="s">
        <v>1489</v>
      </c>
      <c r="B38" s="72">
        <v>46426</v>
      </c>
      <c r="C38" s="73" t="str">
        <f t="shared" si="0"/>
        <v>(월)</v>
      </c>
      <c r="D38" s="71"/>
      <c r="E38" s="72"/>
      <c r="F38" s="73" t="str">
        <f t="shared" si="1"/>
        <v/>
      </c>
      <c r="G38" s="71"/>
      <c r="H38" s="72"/>
      <c r="I38" s="73" t="str">
        <f t="shared" si="2"/>
        <v/>
      </c>
    </row>
    <row r="39" spans="1:9" s="73" customFormat="1" ht="17">
      <c r="A39" s="71" t="s">
        <v>1490</v>
      </c>
      <c r="B39" s="72">
        <v>46427</v>
      </c>
      <c r="C39" s="73" t="str">
        <f t="shared" si="0"/>
        <v>(화)</v>
      </c>
      <c r="D39" s="71"/>
      <c r="E39" s="72"/>
      <c r="F39" s="73" t="str">
        <f t="shared" si="1"/>
        <v/>
      </c>
      <c r="G39" s="71"/>
      <c r="H39" s="72"/>
      <c r="I39" s="73" t="str">
        <f t="shared" si="2"/>
        <v/>
      </c>
    </row>
    <row r="40" spans="1:9" s="73" customFormat="1" ht="17">
      <c r="A40" s="71" t="s">
        <v>1491</v>
      </c>
      <c r="B40" s="72">
        <v>46447</v>
      </c>
      <c r="C40" s="73" t="str">
        <f t="shared" si="0"/>
        <v>(월)</v>
      </c>
      <c r="D40" s="71"/>
      <c r="E40" s="72"/>
      <c r="F40" s="73" t="str">
        <f t="shared" si="1"/>
        <v/>
      </c>
      <c r="G40" s="71"/>
      <c r="H40" s="72"/>
      <c r="I40" s="73" t="str">
        <f t="shared" si="2"/>
        <v/>
      </c>
    </row>
    <row r="41" spans="1:9" s="73" customFormat="1" ht="17">
      <c r="A41" s="71" t="s">
        <v>1492</v>
      </c>
      <c r="B41" s="72">
        <v>46512</v>
      </c>
      <c r="C41" s="73" t="str">
        <f t="shared" si="0"/>
        <v>(수)</v>
      </c>
      <c r="D41" s="71"/>
      <c r="E41" s="72"/>
      <c r="F41" s="73" t="str">
        <f t="shared" si="1"/>
        <v/>
      </c>
      <c r="G41" s="71"/>
      <c r="H41" s="72"/>
      <c r="I41" s="73" t="str">
        <f t="shared" si="2"/>
        <v/>
      </c>
    </row>
    <row r="42" spans="1:9" s="73" customFormat="1" ht="17">
      <c r="A42" s="71" t="s">
        <v>1493</v>
      </c>
      <c r="B42" s="72">
        <v>46520</v>
      </c>
      <c r="C42" s="73" t="str">
        <f t="shared" si="0"/>
        <v>(목)</v>
      </c>
      <c r="D42" s="71"/>
      <c r="E42" s="72"/>
      <c r="F42" s="73" t="str">
        <f t="shared" si="1"/>
        <v/>
      </c>
      <c r="G42" s="71"/>
      <c r="H42" s="72"/>
      <c r="I42" s="73" t="str">
        <f t="shared" si="2"/>
        <v/>
      </c>
    </row>
    <row r="43" spans="1:9" s="73" customFormat="1" ht="17">
      <c r="A43" s="71" t="s">
        <v>1494</v>
      </c>
      <c r="B43" s="72">
        <v>46615</v>
      </c>
      <c r="C43" s="73" t="str">
        <f t="shared" si="0"/>
        <v>(월)</v>
      </c>
      <c r="D43" s="71"/>
      <c r="E43" s="72"/>
      <c r="F43" s="73" t="str">
        <f t="shared" si="1"/>
        <v/>
      </c>
      <c r="G43" s="71"/>
      <c r="H43" s="72"/>
      <c r="I43" s="73" t="str">
        <f t="shared" si="2"/>
        <v/>
      </c>
    </row>
    <row r="44" spans="1:9" s="73" customFormat="1" ht="17">
      <c r="A44" s="71" t="s">
        <v>1495</v>
      </c>
      <c r="B44" s="72">
        <v>46644</v>
      </c>
      <c r="C44" s="73" t="str">
        <f t="shared" si="0"/>
        <v>(화)</v>
      </c>
      <c r="D44" s="71"/>
      <c r="E44" s="72"/>
      <c r="F44" s="73" t="str">
        <f t="shared" si="1"/>
        <v/>
      </c>
      <c r="G44" s="71"/>
      <c r="H44" s="72"/>
      <c r="I44" s="73" t="str">
        <f t="shared" si="2"/>
        <v/>
      </c>
    </row>
    <row r="45" spans="1:9" s="73" customFormat="1" ht="17">
      <c r="A45" s="71" t="s">
        <v>1496</v>
      </c>
      <c r="B45" s="72">
        <v>46645</v>
      </c>
      <c r="C45" s="73" t="str">
        <f t="shared" si="0"/>
        <v>(수)</v>
      </c>
      <c r="D45" s="71"/>
      <c r="E45" s="72"/>
      <c r="F45" s="73" t="str">
        <f t="shared" si="1"/>
        <v/>
      </c>
      <c r="G45" s="71"/>
      <c r="H45" s="72"/>
      <c r="I45" s="73" t="str">
        <f t="shared" si="2"/>
        <v/>
      </c>
    </row>
    <row r="46" spans="1:9" s="73" customFormat="1" ht="17">
      <c r="A46" s="71" t="s">
        <v>1495</v>
      </c>
      <c r="B46" s="72">
        <v>46646</v>
      </c>
      <c r="C46" s="73" t="str">
        <f t="shared" si="0"/>
        <v>(목)</v>
      </c>
      <c r="D46" s="71"/>
      <c r="E46" s="72"/>
      <c r="F46" s="73" t="str">
        <f t="shared" si="1"/>
        <v/>
      </c>
      <c r="G46" s="71"/>
      <c r="H46" s="72"/>
      <c r="I46" s="73" t="str">
        <f t="shared" si="2"/>
        <v/>
      </c>
    </row>
    <row r="47" spans="1:9" s="73" customFormat="1" ht="17">
      <c r="A47" s="71" t="s">
        <v>1497</v>
      </c>
      <c r="B47" s="73">
        <v>46664</v>
      </c>
      <c r="C47" s="73" t="str">
        <f t="shared" si="0"/>
        <v>(월)</v>
      </c>
      <c r="D47" s="71"/>
      <c r="E47" s="72"/>
      <c r="F47" s="73" t="str">
        <f t="shared" si="1"/>
        <v/>
      </c>
      <c r="G47" s="71"/>
      <c r="H47" s="72"/>
      <c r="I47" s="73" t="str">
        <f t="shared" si="2"/>
        <v/>
      </c>
    </row>
    <row r="48" spans="1:9" s="73" customFormat="1" ht="17">
      <c r="A48" s="71" t="s">
        <v>1498</v>
      </c>
      <c r="B48" s="72">
        <v>46671</v>
      </c>
      <c r="C48" s="73" t="str">
        <f t="shared" si="0"/>
        <v>(월)</v>
      </c>
      <c r="D48" s="71"/>
      <c r="E48" s="72"/>
      <c r="F48" s="73" t="str">
        <f t="shared" si="1"/>
        <v/>
      </c>
      <c r="G48" s="71"/>
      <c r="H48" s="72"/>
      <c r="I48" s="73" t="str">
        <f t="shared" si="2"/>
        <v/>
      </c>
    </row>
    <row r="49" spans="1:9" s="73" customFormat="1" ht="17">
      <c r="A49" s="71" t="s">
        <v>1499</v>
      </c>
      <c r="B49" s="72">
        <v>46748</v>
      </c>
      <c r="C49" s="73" t="str">
        <f t="shared" si="0"/>
        <v>(월)</v>
      </c>
      <c r="D49" s="71"/>
      <c r="E49" s="72"/>
      <c r="F49" s="73" t="str">
        <f t="shared" si="1"/>
        <v/>
      </c>
      <c r="G49" s="71"/>
      <c r="H49" s="72"/>
      <c r="I49" s="73" t="str">
        <f t="shared" si="2"/>
        <v/>
      </c>
    </row>
    <row r="50" spans="1:9" s="73" customFormat="1" ht="17">
      <c r="A50" s="71"/>
      <c r="B50" s="72"/>
      <c r="C50" s="73" t="str">
        <f t="shared" si="0"/>
        <v/>
      </c>
      <c r="D50" s="71"/>
      <c r="E50" s="72"/>
      <c r="F50" s="73" t="str">
        <f t="shared" si="1"/>
        <v/>
      </c>
      <c r="G50" s="71"/>
      <c r="H50" s="72"/>
      <c r="I50" s="73" t="str">
        <f t="shared" si="2"/>
        <v/>
      </c>
    </row>
    <row r="51" spans="1:9" s="73" customFormat="1" ht="17">
      <c r="A51" s="71"/>
      <c r="B51" s="72"/>
      <c r="C51" s="73" t="str">
        <f t="shared" si="0"/>
        <v/>
      </c>
      <c r="D51" s="71"/>
      <c r="E51" s="72"/>
      <c r="F51" s="73" t="str">
        <f t="shared" si="1"/>
        <v/>
      </c>
      <c r="G51" s="71"/>
      <c r="H51" s="72"/>
      <c r="I51" s="73" t="str">
        <f t="shared" si="2"/>
        <v/>
      </c>
    </row>
    <row r="52" spans="1:9" s="73" customFormat="1" ht="17">
      <c r="A52" s="71"/>
      <c r="B52" s="72"/>
      <c r="C52" s="73" t="str">
        <f t="shared" si="0"/>
        <v/>
      </c>
      <c r="D52" s="71"/>
      <c r="E52" s="72"/>
      <c r="F52" s="73" t="str">
        <f t="shared" si="1"/>
        <v/>
      </c>
      <c r="G52" s="71"/>
      <c r="H52" s="72"/>
      <c r="I52" s="73" t="str">
        <f t="shared" si="2"/>
        <v/>
      </c>
    </row>
    <row r="53" spans="1:9" s="73" customFormat="1" ht="17">
      <c r="A53" s="71"/>
      <c r="B53" s="72"/>
      <c r="C53" s="73" t="str">
        <f t="shared" si="0"/>
        <v/>
      </c>
      <c r="D53" s="71"/>
      <c r="E53" s="72"/>
      <c r="F53" s="73" t="str">
        <f t="shared" si="1"/>
        <v/>
      </c>
      <c r="G53" s="71"/>
      <c r="H53" s="72"/>
      <c r="I53" s="73" t="str">
        <f t="shared" si="2"/>
        <v/>
      </c>
    </row>
    <row r="54" spans="1:9" s="73" customFormat="1" ht="17">
      <c r="A54" s="71"/>
      <c r="B54" s="72"/>
      <c r="C54" s="73" t="str">
        <f t="shared" si="0"/>
        <v/>
      </c>
      <c r="D54" s="71"/>
      <c r="E54" s="72"/>
      <c r="F54" s="73" t="str">
        <f t="shared" si="1"/>
        <v/>
      </c>
      <c r="G54" s="71"/>
      <c r="H54" s="72"/>
      <c r="I54" s="73" t="str">
        <f t="shared" si="2"/>
        <v/>
      </c>
    </row>
    <row r="55" spans="1:9" s="73" customFormat="1" ht="17">
      <c r="A55" s="71"/>
      <c r="B55" s="72"/>
      <c r="C55" s="73" t="str">
        <f t="shared" si="0"/>
        <v/>
      </c>
      <c r="D55" s="71"/>
      <c r="E55" s="72"/>
      <c r="F55" s="73" t="str">
        <f t="shared" si="1"/>
        <v/>
      </c>
      <c r="G55" s="71"/>
      <c r="H55" s="72"/>
      <c r="I55" s="73" t="str">
        <f t="shared" si="2"/>
        <v/>
      </c>
    </row>
    <row r="56" spans="1:9" s="73" customFormat="1" ht="17">
      <c r="A56" s="71"/>
      <c r="B56" s="72"/>
      <c r="C56" s="73" t="str">
        <f t="shared" si="0"/>
        <v/>
      </c>
      <c r="D56" s="71"/>
      <c r="E56" s="72"/>
      <c r="F56" s="73" t="str">
        <f t="shared" si="1"/>
        <v/>
      </c>
      <c r="G56" s="71"/>
      <c r="H56" s="72"/>
      <c r="I56" s="73" t="str">
        <f t="shared" si="2"/>
        <v/>
      </c>
    </row>
    <row r="57" spans="1:9" s="73" customFormat="1" ht="17">
      <c r="A57" s="71"/>
      <c r="B57" s="72"/>
      <c r="C57" s="73" t="str">
        <f t="shared" si="0"/>
        <v/>
      </c>
      <c r="D57" s="71"/>
      <c r="E57" s="72"/>
      <c r="F57" s="73" t="str">
        <f t="shared" si="1"/>
        <v/>
      </c>
      <c r="G57" s="71"/>
      <c r="H57" s="72"/>
      <c r="I57" s="73" t="str">
        <f t="shared" si="2"/>
        <v/>
      </c>
    </row>
    <row r="58" spans="1:9" s="73" customFormat="1" ht="17">
      <c r="A58" s="71"/>
      <c r="B58" s="72"/>
      <c r="C58" s="73" t="str">
        <f t="shared" si="0"/>
        <v/>
      </c>
      <c r="D58" s="71"/>
      <c r="E58" s="72"/>
      <c r="F58" s="73" t="str">
        <f t="shared" si="1"/>
        <v/>
      </c>
      <c r="G58" s="71"/>
      <c r="H58" s="72"/>
      <c r="I58" s="73" t="str">
        <f t="shared" si="2"/>
        <v/>
      </c>
    </row>
    <row r="59" spans="1:9" s="73" customFormat="1" ht="17">
      <c r="A59" s="71"/>
      <c r="B59" s="72"/>
      <c r="C59" s="73" t="str">
        <f t="shared" si="0"/>
        <v/>
      </c>
      <c r="D59" s="71"/>
      <c r="E59" s="72"/>
      <c r="F59" s="73" t="str">
        <f t="shared" si="1"/>
        <v/>
      </c>
      <c r="G59" s="71"/>
      <c r="H59" s="72"/>
      <c r="I59" s="73" t="str">
        <f t="shared" si="2"/>
        <v/>
      </c>
    </row>
    <row r="60" spans="1:9" s="73" customFormat="1" ht="17">
      <c r="A60" s="71"/>
      <c r="B60" s="72"/>
      <c r="C60" s="73" t="str">
        <f t="shared" si="0"/>
        <v/>
      </c>
      <c r="D60" s="71"/>
      <c r="E60" s="72"/>
      <c r="F60" s="73" t="str">
        <f t="shared" si="1"/>
        <v/>
      </c>
      <c r="G60" s="71"/>
      <c r="H60" s="72"/>
      <c r="I60" s="73" t="str">
        <f t="shared" si="2"/>
        <v/>
      </c>
    </row>
    <row r="61" spans="1:9" s="73" customFormat="1" ht="17">
      <c r="A61" s="71"/>
      <c r="B61" s="72"/>
      <c r="C61" s="73" t="str">
        <f t="shared" si="0"/>
        <v/>
      </c>
      <c r="D61" s="71"/>
      <c r="E61" s="72"/>
      <c r="F61" s="73" t="str">
        <f t="shared" si="1"/>
        <v/>
      </c>
      <c r="G61" s="71"/>
      <c r="H61" s="72"/>
      <c r="I61" s="73" t="str">
        <f t="shared" si="2"/>
        <v/>
      </c>
    </row>
    <row r="62" spans="1:9" s="73" customFormat="1" ht="17">
      <c r="A62" s="71"/>
      <c r="B62" s="72"/>
      <c r="C62" s="73" t="str">
        <f t="shared" si="0"/>
        <v/>
      </c>
      <c r="D62" s="71"/>
      <c r="E62" s="72"/>
      <c r="F62" s="73" t="str">
        <f t="shared" si="1"/>
        <v/>
      </c>
      <c r="G62" s="71"/>
      <c r="H62" s="72"/>
      <c r="I62" s="73" t="str">
        <f t="shared" si="2"/>
        <v/>
      </c>
    </row>
    <row r="63" spans="1:9" s="73" customFormat="1" ht="17">
      <c r="A63" s="71"/>
      <c r="B63" s="72"/>
      <c r="C63" s="73" t="str">
        <f t="shared" si="0"/>
        <v/>
      </c>
      <c r="D63" s="71"/>
      <c r="E63" s="72"/>
      <c r="F63" s="73" t="str">
        <f t="shared" si="1"/>
        <v/>
      </c>
      <c r="G63" s="71"/>
      <c r="H63" s="72"/>
      <c r="I63" s="73" t="str">
        <f t="shared" si="2"/>
        <v/>
      </c>
    </row>
    <row r="64" spans="1:9" s="73" customFormat="1" ht="17">
      <c r="A64" s="71"/>
      <c r="B64" s="72"/>
      <c r="C64" s="73" t="str">
        <f t="shared" si="0"/>
        <v/>
      </c>
      <c r="D64" s="71"/>
      <c r="E64" s="72"/>
      <c r="F64" s="73" t="str">
        <f t="shared" si="1"/>
        <v/>
      </c>
      <c r="G64" s="71"/>
      <c r="H64" s="72"/>
      <c r="I64" s="73" t="str">
        <f t="shared" si="2"/>
        <v/>
      </c>
    </row>
    <row r="65" spans="1:9" s="73" customFormat="1" ht="17">
      <c r="A65" s="71"/>
      <c r="B65" s="72"/>
      <c r="C65" s="73" t="str">
        <f t="shared" si="0"/>
        <v/>
      </c>
      <c r="D65" s="71"/>
      <c r="E65" s="72"/>
      <c r="F65" s="73" t="str">
        <f t="shared" si="1"/>
        <v/>
      </c>
      <c r="G65" s="71"/>
      <c r="H65" s="72"/>
      <c r="I65" s="73" t="str">
        <f t="shared" si="2"/>
        <v/>
      </c>
    </row>
    <row r="66" spans="1:9" s="73" customFormat="1" ht="17">
      <c r="A66" s="71"/>
      <c r="B66" s="72"/>
      <c r="C66" s="73" t="str">
        <f t="shared" si="0"/>
        <v/>
      </c>
      <c r="D66" s="71"/>
      <c r="E66" s="72"/>
      <c r="F66" s="73" t="str">
        <f t="shared" si="1"/>
        <v/>
      </c>
      <c r="G66" s="71"/>
      <c r="H66" s="72"/>
      <c r="I66" s="73" t="str">
        <f t="shared" si="2"/>
        <v/>
      </c>
    </row>
    <row r="67" spans="1:9" s="73" customFormat="1" ht="17">
      <c r="A67" s="71"/>
      <c r="B67" s="72"/>
      <c r="C67" s="73" t="str">
        <f t="shared" si="0"/>
        <v/>
      </c>
      <c r="D67" s="71"/>
      <c r="E67" s="72"/>
      <c r="F67" s="73" t="str">
        <f t="shared" si="1"/>
        <v/>
      </c>
      <c r="G67" s="71"/>
      <c r="H67" s="72"/>
      <c r="I67" s="73" t="str">
        <f t="shared" si="2"/>
        <v/>
      </c>
    </row>
    <row r="68" spans="1:9" s="73" customFormat="1" ht="17">
      <c r="A68" s="71"/>
      <c r="B68" s="72"/>
      <c r="C68" s="73" t="str">
        <f t="shared" si="0"/>
        <v/>
      </c>
      <c r="D68" s="71"/>
      <c r="E68" s="72"/>
      <c r="F68" s="73" t="str">
        <f t="shared" si="1"/>
        <v/>
      </c>
      <c r="G68" s="71"/>
      <c r="H68" s="72"/>
      <c r="I68" s="73" t="str">
        <f t="shared" si="2"/>
        <v/>
      </c>
    </row>
    <row r="69" spans="1:9" s="73" customFormat="1" ht="17">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7">
      <c r="A70" s="71"/>
      <c r="B70" s="72"/>
      <c r="C70" s="73" t="str">
        <f t="shared" si="3"/>
        <v/>
      </c>
      <c r="D70" s="71"/>
      <c r="E70" s="72"/>
      <c r="F70" s="73" t="str">
        <f t="shared" si="4"/>
        <v/>
      </c>
      <c r="G70" s="71"/>
      <c r="H70" s="72"/>
      <c r="I70" s="73" t="str">
        <f t="shared" si="5"/>
        <v/>
      </c>
    </row>
    <row r="71" spans="1:9" s="73" customFormat="1" ht="17">
      <c r="A71" s="71"/>
      <c r="B71" s="72"/>
      <c r="C71" s="73" t="str">
        <f t="shared" si="3"/>
        <v/>
      </c>
      <c r="D71" s="71"/>
      <c r="E71" s="72"/>
      <c r="F71" s="73" t="str">
        <f t="shared" si="4"/>
        <v/>
      </c>
      <c r="G71" s="71"/>
      <c r="H71" s="72"/>
      <c r="I71" s="73" t="str">
        <f t="shared" si="5"/>
        <v/>
      </c>
    </row>
    <row r="72" spans="1:9" s="73" customFormat="1" ht="17">
      <c r="A72" s="71"/>
      <c r="B72" s="72"/>
      <c r="C72" s="73" t="str">
        <f t="shared" si="3"/>
        <v/>
      </c>
      <c r="D72" s="71"/>
      <c r="E72" s="72"/>
      <c r="F72" s="73" t="str">
        <f t="shared" si="4"/>
        <v/>
      </c>
      <c r="G72" s="71"/>
      <c r="H72" s="72"/>
      <c r="I72" s="73" t="str">
        <f t="shared" si="5"/>
        <v/>
      </c>
    </row>
    <row r="73" spans="1:9" s="73" customFormat="1" ht="17">
      <c r="A73" s="71"/>
      <c r="B73" s="72"/>
      <c r="C73" s="73" t="str">
        <f t="shared" si="3"/>
        <v/>
      </c>
      <c r="D73" s="71"/>
      <c r="E73" s="72"/>
      <c r="F73" s="73" t="str">
        <f t="shared" si="4"/>
        <v/>
      </c>
      <c r="G73" s="71"/>
      <c r="H73" s="72"/>
      <c r="I73" s="73" t="str">
        <f t="shared" si="5"/>
        <v/>
      </c>
    </row>
    <row r="74" spans="1:9" s="73" customFormat="1" ht="17">
      <c r="A74" s="71"/>
      <c r="B74" s="72"/>
      <c r="C74" s="73" t="str">
        <f t="shared" si="3"/>
        <v/>
      </c>
      <c r="D74" s="71"/>
      <c r="E74" s="72"/>
      <c r="F74" s="73" t="str">
        <f t="shared" si="4"/>
        <v/>
      </c>
      <c r="G74" s="71"/>
      <c r="H74" s="72"/>
      <c r="I74" s="73" t="str">
        <f t="shared" si="5"/>
        <v/>
      </c>
    </row>
    <row r="75" spans="1:9" s="73" customFormat="1" ht="17">
      <c r="A75" s="71"/>
      <c r="B75" s="72"/>
      <c r="C75" s="73" t="str">
        <f t="shared" si="3"/>
        <v/>
      </c>
      <c r="D75" s="71"/>
      <c r="E75" s="72"/>
      <c r="F75" s="73" t="str">
        <f t="shared" si="4"/>
        <v/>
      </c>
      <c r="G75" s="71"/>
      <c r="H75" s="72"/>
      <c r="I75" s="73" t="str">
        <f t="shared" si="5"/>
        <v/>
      </c>
    </row>
    <row r="76" spans="1:9" s="73" customFormat="1" ht="17">
      <c r="A76" s="71"/>
      <c r="B76" s="72"/>
      <c r="C76" s="73" t="str">
        <f t="shared" si="3"/>
        <v/>
      </c>
      <c r="D76" s="71"/>
      <c r="E76" s="72"/>
      <c r="F76" s="73" t="str">
        <f t="shared" si="4"/>
        <v/>
      </c>
      <c r="G76" s="71"/>
      <c r="H76" s="72"/>
      <c r="I76" s="73" t="str">
        <f t="shared" si="5"/>
        <v/>
      </c>
    </row>
    <row r="77" spans="1:9" s="73" customFormat="1" ht="17">
      <c r="A77" s="71"/>
      <c r="B77" s="72"/>
      <c r="C77" s="73" t="str">
        <f t="shared" si="3"/>
        <v/>
      </c>
      <c r="D77" s="71"/>
      <c r="E77" s="72"/>
      <c r="F77" s="73" t="str">
        <f t="shared" si="4"/>
        <v/>
      </c>
      <c r="G77" s="71"/>
      <c r="H77" s="72"/>
      <c r="I77" s="73" t="str">
        <f t="shared" si="5"/>
        <v/>
      </c>
    </row>
    <row r="78" spans="1:9" s="73" customFormat="1" ht="17">
      <c r="A78" s="71"/>
      <c r="B78" s="72"/>
      <c r="C78" s="73" t="str">
        <f t="shared" si="3"/>
        <v/>
      </c>
      <c r="D78" s="71"/>
      <c r="E78" s="72"/>
      <c r="F78" s="73" t="str">
        <f t="shared" si="4"/>
        <v/>
      </c>
      <c r="G78" s="71"/>
      <c r="H78" s="72"/>
      <c r="I78" s="73" t="str">
        <f t="shared" si="5"/>
        <v/>
      </c>
    </row>
    <row r="79" spans="1:9" s="73" customFormat="1" ht="17">
      <c r="A79" s="71"/>
      <c r="B79" s="72"/>
      <c r="C79" s="73" t="str">
        <f t="shared" si="3"/>
        <v/>
      </c>
      <c r="D79" s="71"/>
      <c r="E79" s="72"/>
      <c r="F79" s="73" t="str">
        <f t="shared" si="4"/>
        <v/>
      </c>
      <c r="G79" s="71"/>
      <c r="H79" s="72"/>
      <c r="I79" s="73" t="str">
        <f t="shared" si="5"/>
        <v/>
      </c>
    </row>
    <row r="80" spans="1:9" s="73" customFormat="1" ht="17">
      <c r="A80" s="71"/>
      <c r="B80" s="72"/>
      <c r="C80" s="73" t="str">
        <f t="shared" si="3"/>
        <v/>
      </c>
      <c r="D80" s="71"/>
      <c r="E80" s="72"/>
      <c r="F80" s="73" t="str">
        <f t="shared" si="4"/>
        <v/>
      </c>
      <c r="G80" s="71"/>
      <c r="H80" s="72"/>
      <c r="I80" s="73" t="str">
        <f t="shared" si="5"/>
        <v/>
      </c>
    </row>
    <row r="81" spans="1:9" s="73" customFormat="1" ht="17">
      <c r="A81" s="71"/>
      <c r="B81" s="72"/>
      <c r="C81" s="73" t="str">
        <f t="shared" si="3"/>
        <v/>
      </c>
      <c r="D81" s="71"/>
      <c r="E81" s="72"/>
      <c r="F81" s="73" t="str">
        <f t="shared" si="4"/>
        <v/>
      </c>
      <c r="G81" s="71"/>
      <c r="H81" s="72"/>
      <c r="I81" s="73" t="str">
        <f t="shared" si="5"/>
        <v/>
      </c>
    </row>
    <row r="82" spans="1:9" s="73" customFormat="1" ht="17">
      <c r="A82" s="71"/>
      <c r="B82" s="72"/>
      <c r="C82" s="73" t="str">
        <f t="shared" si="3"/>
        <v/>
      </c>
      <c r="D82" s="71"/>
      <c r="E82" s="72"/>
      <c r="F82" s="73" t="str">
        <f t="shared" si="4"/>
        <v/>
      </c>
      <c r="G82" s="71"/>
      <c r="H82" s="72"/>
      <c r="I82" s="73" t="str">
        <f t="shared" si="5"/>
        <v/>
      </c>
    </row>
    <row r="83" spans="1:9" s="73" customFormat="1" ht="17">
      <c r="A83" s="71"/>
      <c r="B83" s="72"/>
      <c r="C83" s="73" t="str">
        <f t="shared" si="3"/>
        <v/>
      </c>
      <c r="D83" s="71"/>
      <c r="E83" s="72"/>
      <c r="F83" s="73" t="str">
        <f t="shared" si="4"/>
        <v/>
      </c>
      <c r="G83" s="71"/>
      <c r="H83" s="72"/>
      <c r="I83" s="73" t="str">
        <f t="shared" si="5"/>
        <v/>
      </c>
    </row>
    <row r="84" spans="1:9" s="73" customFormat="1" ht="17">
      <c r="A84" s="71"/>
      <c r="B84" s="72"/>
      <c r="C84" s="73" t="str">
        <f t="shared" si="3"/>
        <v/>
      </c>
      <c r="D84" s="71"/>
      <c r="E84" s="72"/>
      <c r="F84" s="73" t="str">
        <f t="shared" si="4"/>
        <v/>
      </c>
      <c r="G84" s="71"/>
      <c r="H84" s="72"/>
      <c r="I84" s="73" t="str">
        <f t="shared" si="5"/>
        <v/>
      </c>
    </row>
    <row r="85" spans="1:9" s="73" customFormat="1" ht="17">
      <c r="A85" s="71"/>
      <c r="B85" s="72"/>
      <c r="C85" s="73" t="str">
        <f t="shared" si="3"/>
        <v/>
      </c>
      <c r="D85" s="71"/>
      <c r="E85" s="72"/>
      <c r="F85" s="73" t="str">
        <f t="shared" si="4"/>
        <v/>
      </c>
      <c r="G85" s="71"/>
      <c r="H85" s="72"/>
      <c r="I85" s="73" t="str">
        <f t="shared" si="5"/>
        <v/>
      </c>
    </row>
    <row r="86" spans="1:9" s="73" customFormat="1" ht="17">
      <c r="A86" s="71"/>
      <c r="B86" s="72"/>
      <c r="C86" s="73" t="str">
        <f t="shared" si="3"/>
        <v/>
      </c>
      <c r="D86" s="71"/>
      <c r="E86" s="72"/>
      <c r="F86" s="73" t="str">
        <f t="shared" si="4"/>
        <v/>
      </c>
      <c r="G86" s="71"/>
      <c r="H86" s="72"/>
      <c r="I86" s="73" t="str">
        <f t="shared" si="5"/>
        <v/>
      </c>
    </row>
    <row r="87" spans="1:9" s="73" customFormat="1" ht="17">
      <c r="A87" s="71"/>
      <c r="B87" s="72"/>
      <c r="C87" s="73" t="str">
        <f t="shared" si="3"/>
        <v/>
      </c>
      <c r="D87" s="71"/>
      <c r="E87" s="72"/>
      <c r="F87" s="73" t="str">
        <f t="shared" si="4"/>
        <v/>
      </c>
      <c r="G87" s="71"/>
      <c r="H87" s="72"/>
      <c r="I87" s="73" t="str">
        <f t="shared" si="5"/>
        <v/>
      </c>
    </row>
    <row r="88" spans="1:9" s="73" customFormat="1" ht="17">
      <c r="A88" s="71"/>
      <c r="B88" s="72"/>
      <c r="C88" s="73" t="str">
        <f t="shared" si="3"/>
        <v/>
      </c>
      <c r="D88" s="71"/>
      <c r="E88" s="72"/>
      <c r="F88" s="73" t="str">
        <f t="shared" si="4"/>
        <v/>
      </c>
      <c r="G88" s="71"/>
      <c r="H88" s="72"/>
      <c r="I88" s="73" t="str">
        <f t="shared" si="5"/>
        <v/>
      </c>
    </row>
    <row r="89" spans="1:9" s="73" customFormat="1" ht="17">
      <c r="A89" s="71"/>
      <c r="B89" s="72"/>
      <c r="C89" s="73" t="str">
        <f t="shared" si="3"/>
        <v/>
      </c>
      <c r="D89" s="71"/>
      <c r="E89" s="72"/>
      <c r="F89" s="73" t="str">
        <f t="shared" si="4"/>
        <v/>
      </c>
      <c r="G89" s="71"/>
      <c r="H89" s="72"/>
      <c r="I89" s="73" t="str">
        <f t="shared" si="5"/>
        <v/>
      </c>
    </row>
    <row r="90" spans="1:9" s="73" customFormat="1" ht="17">
      <c r="A90" s="71"/>
      <c r="B90" s="72"/>
      <c r="C90" s="73" t="str">
        <f t="shared" si="3"/>
        <v/>
      </c>
      <c r="D90" s="71"/>
      <c r="E90" s="72"/>
      <c r="F90" s="73" t="str">
        <f t="shared" si="4"/>
        <v/>
      </c>
      <c r="G90" s="71"/>
      <c r="H90" s="72"/>
      <c r="I90" s="73" t="str">
        <f t="shared" si="5"/>
        <v/>
      </c>
    </row>
    <row r="91" spans="1:9" s="73" customFormat="1" ht="17">
      <c r="A91" s="71"/>
      <c r="B91" s="72"/>
      <c r="C91" s="73" t="str">
        <f t="shared" si="3"/>
        <v/>
      </c>
      <c r="D91" s="71"/>
      <c r="E91" s="72"/>
      <c r="F91" s="73" t="str">
        <f t="shared" si="4"/>
        <v/>
      </c>
      <c r="G91" s="71"/>
      <c r="H91" s="72"/>
      <c r="I91" s="73" t="str">
        <f t="shared" si="5"/>
        <v/>
      </c>
    </row>
    <row r="92" spans="1:9" s="73" customFormat="1" ht="17">
      <c r="A92" s="71"/>
      <c r="B92" s="72"/>
      <c r="C92" s="73" t="str">
        <f t="shared" si="3"/>
        <v/>
      </c>
      <c r="D92" s="71"/>
      <c r="E92" s="72"/>
      <c r="F92" s="73" t="str">
        <f t="shared" si="4"/>
        <v/>
      </c>
      <c r="G92" s="71"/>
      <c r="H92" s="72"/>
      <c r="I92" s="73" t="str">
        <f t="shared" si="5"/>
        <v/>
      </c>
    </row>
    <row r="93" spans="1:9" s="73" customFormat="1" ht="17">
      <c r="A93" s="71"/>
      <c r="B93" s="72"/>
      <c r="C93" s="73" t="str">
        <f t="shared" si="3"/>
        <v/>
      </c>
      <c r="D93" s="71"/>
      <c r="E93" s="72"/>
      <c r="F93" s="73" t="str">
        <f t="shared" si="4"/>
        <v/>
      </c>
      <c r="G93" s="71"/>
      <c r="H93" s="72"/>
      <c r="I93" s="73" t="str">
        <f t="shared" si="5"/>
        <v/>
      </c>
    </row>
    <row r="94" spans="1:9" s="73" customFormat="1" ht="17">
      <c r="A94" s="71"/>
      <c r="B94" s="72"/>
      <c r="C94" s="73" t="str">
        <f t="shared" si="3"/>
        <v/>
      </c>
      <c r="D94" s="71"/>
      <c r="E94" s="72"/>
      <c r="F94" s="73" t="str">
        <f t="shared" si="4"/>
        <v/>
      </c>
      <c r="G94" s="71"/>
      <c r="H94" s="72"/>
      <c r="I94" s="73" t="str">
        <f t="shared" si="5"/>
        <v/>
      </c>
    </row>
    <row r="95" spans="1:9" s="73" customFormat="1" ht="17">
      <c r="A95" s="71"/>
      <c r="B95" s="72"/>
      <c r="C95" s="73" t="str">
        <f t="shared" si="3"/>
        <v/>
      </c>
      <c r="D95" s="71"/>
      <c r="E95" s="72"/>
      <c r="F95" s="73" t="str">
        <f t="shared" si="4"/>
        <v/>
      </c>
      <c r="G95" s="71"/>
      <c r="H95" s="72"/>
      <c r="I95" s="73" t="str">
        <f t="shared" si="5"/>
        <v/>
      </c>
    </row>
    <row r="96" spans="1:9" s="73" customFormat="1" ht="17">
      <c r="A96" s="71"/>
      <c r="B96" s="72"/>
      <c r="C96" s="73" t="str">
        <f t="shared" si="3"/>
        <v/>
      </c>
      <c r="D96" s="71"/>
      <c r="E96" s="72"/>
      <c r="F96" s="73" t="str">
        <f t="shared" si="4"/>
        <v/>
      </c>
      <c r="G96" s="71"/>
      <c r="H96" s="72"/>
      <c r="I96" s="73" t="str">
        <f t="shared" si="5"/>
        <v/>
      </c>
    </row>
    <row r="97" spans="1:9" s="73" customFormat="1" ht="17">
      <c r="A97" s="71"/>
      <c r="B97" s="72"/>
      <c r="C97" s="73" t="str">
        <f t="shared" si="3"/>
        <v/>
      </c>
      <c r="D97" s="71"/>
      <c r="E97" s="72"/>
      <c r="F97" s="73" t="str">
        <f t="shared" si="4"/>
        <v/>
      </c>
      <c r="G97" s="71"/>
      <c r="H97" s="72"/>
      <c r="I97" s="73" t="str">
        <f t="shared" si="5"/>
        <v/>
      </c>
    </row>
    <row r="98" spans="1:9" s="73" customFormat="1" ht="17">
      <c r="A98" s="71"/>
      <c r="B98" s="72"/>
      <c r="C98" s="73" t="str">
        <f t="shared" si="3"/>
        <v/>
      </c>
      <c r="D98" s="71"/>
      <c r="E98" s="72"/>
      <c r="F98" s="73" t="str">
        <f t="shared" si="4"/>
        <v/>
      </c>
      <c r="G98" s="71"/>
      <c r="H98" s="72"/>
      <c r="I98" s="73" t="str">
        <f t="shared" si="5"/>
        <v/>
      </c>
    </row>
    <row r="99" spans="1:9" s="73" customFormat="1" ht="17">
      <c r="A99" s="71"/>
      <c r="B99" s="72"/>
      <c r="C99" s="73" t="str">
        <f t="shared" si="3"/>
        <v/>
      </c>
      <c r="D99" s="71"/>
      <c r="E99" s="72"/>
      <c r="F99" s="73" t="str">
        <f t="shared" si="4"/>
        <v/>
      </c>
      <c r="G99" s="71"/>
      <c r="H99" s="72"/>
      <c r="I99" s="73" t="str">
        <f t="shared" si="5"/>
        <v/>
      </c>
    </row>
    <row r="100" spans="1:9" s="73" customFormat="1" ht="17">
      <c r="A100" s="71"/>
      <c r="B100" s="72"/>
      <c r="C100" s="73" t="str">
        <f t="shared" si="3"/>
        <v/>
      </c>
      <c r="D100" s="71"/>
      <c r="E100" s="72"/>
      <c r="F100" s="73" t="str">
        <f t="shared" si="4"/>
        <v/>
      </c>
      <c r="G100" s="71"/>
      <c r="H100" s="72"/>
      <c r="I100" s="73" t="str">
        <f t="shared" si="5"/>
        <v/>
      </c>
    </row>
    <row r="101" spans="1:9" s="73" customFormat="1" ht="17">
      <c r="A101" s="71"/>
      <c r="B101" s="72"/>
      <c r="C101" s="73" t="str">
        <f t="shared" si="3"/>
        <v/>
      </c>
      <c r="D101" s="71"/>
      <c r="E101" s="72"/>
      <c r="F101" s="73" t="str">
        <f t="shared" si="4"/>
        <v/>
      </c>
      <c r="G101" s="71"/>
      <c r="H101" s="72"/>
      <c r="I101" s="73" t="str">
        <f t="shared" si="5"/>
        <v/>
      </c>
    </row>
    <row r="102" spans="1:9" s="73" customFormat="1" ht="17">
      <c r="A102" s="71"/>
      <c r="B102" s="72"/>
      <c r="C102" s="73" t="str">
        <f t="shared" si="3"/>
        <v/>
      </c>
      <c r="D102" s="71"/>
      <c r="E102" s="72"/>
      <c r="F102" s="73" t="str">
        <f t="shared" si="4"/>
        <v/>
      </c>
      <c r="G102" s="71"/>
      <c r="H102" s="72"/>
      <c r="I102" s="73" t="str">
        <f t="shared" si="5"/>
        <v/>
      </c>
    </row>
    <row r="103" spans="1:9" s="73" customFormat="1" ht="17">
      <c r="A103" s="71"/>
      <c r="B103" s="72"/>
      <c r="C103" s="73" t="str">
        <f t="shared" si="3"/>
        <v/>
      </c>
      <c r="D103" s="71"/>
      <c r="E103" s="72"/>
      <c r="F103" s="73" t="str">
        <f t="shared" si="4"/>
        <v/>
      </c>
      <c r="G103" s="71"/>
      <c r="H103" s="72"/>
      <c r="I103" s="73" t="str">
        <f t="shared" si="5"/>
        <v/>
      </c>
    </row>
    <row r="104" spans="1:9" s="73" customFormat="1" ht="17">
      <c r="A104" s="71"/>
      <c r="B104" s="72"/>
      <c r="C104" s="73" t="str">
        <f t="shared" si="3"/>
        <v/>
      </c>
      <c r="D104" s="71"/>
      <c r="E104" s="72"/>
      <c r="F104" s="73" t="str">
        <f t="shared" si="4"/>
        <v/>
      </c>
      <c r="G104" s="71"/>
      <c r="H104" s="72"/>
      <c r="I104" s="73" t="str">
        <f t="shared" si="5"/>
        <v/>
      </c>
    </row>
    <row r="105" spans="1:9" s="73" customFormat="1" ht="17">
      <c r="A105" s="71"/>
      <c r="B105" s="72"/>
      <c r="C105" s="73" t="str">
        <f t="shared" si="3"/>
        <v/>
      </c>
      <c r="D105" s="71"/>
      <c r="E105" s="72"/>
      <c r="F105" s="73" t="str">
        <f t="shared" si="4"/>
        <v/>
      </c>
      <c r="G105" s="71"/>
      <c r="H105" s="72"/>
      <c r="I105" s="73" t="str">
        <f t="shared" si="5"/>
        <v/>
      </c>
    </row>
    <row r="106" spans="1:9" s="73" customFormat="1" ht="17">
      <c r="A106" s="71"/>
      <c r="B106" s="72"/>
      <c r="C106" s="73" t="str">
        <f t="shared" si="3"/>
        <v/>
      </c>
      <c r="D106" s="71"/>
      <c r="E106" s="72"/>
      <c r="F106" s="73" t="str">
        <f t="shared" si="4"/>
        <v/>
      </c>
      <c r="G106" s="71"/>
      <c r="H106" s="72"/>
      <c r="I106" s="73" t="str">
        <f t="shared" si="5"/>
        <v/>
      </c>
    </row>
    <row r="107" spans="1:9" s="73" customFormat="1" ht="17">
      <c r="A107" s="71"/>
      <c r="B107" s="72"/>
      <c r="C107" s="73" t="str">
        <f t="shared" si="3"/>
        <v/>
      </c>
      <c r="D107" s="71"/>
      <c r="E107" s="72"/>
      <c r="F107" s="73" t="str">
        <f t="shared" si="4"/>
        <v/>
      </c>
      <c r="G107" s="71"/>
      <c r="H107" s="72"/>
      <c r="I107" s="73" t="str">
        <f t="shared" si="5"/>
        <v/>
      </c>
    </row>
    <row r="108" spans="1:9" s="73" customFormat="1" ht="17">
      <c r="A108" s="71"/>
      <c r="B108" s="72"/>
      <c r="C108" s="73" t="str">
        <f t="shared" si="3"/>
        <v/>
      </c>
      <c r="D108" s="71"/>
      <c r="E108" s="72"/>
      <c r="F108" s="73" t="str">
        <f t="shared" si="4"/>
        <v/>
      </c>
      <c r="G108" s="71"/>
      <c r="H108" s="72"/>
      <c r="I108" s="73" t="str">
        <f t="shared" si="5"/>
        <v/>
      </c>
    </row>
    <row r="109" spans="1:9" s="73" customFormat="1" ht="17">
      <c r="A109" s="71"/>
      <c r="B109" s="72"/>
      <c r="C109" s="73" t="str">
        <f t="shared" si="3"/>
        <v/>
      </c>
      <c r="D109" s="71"/>
      <c r="E109" s="72"/>
      <c r="F109" s="73" t="str">
        <f t="shared" si="4"/>
        <v/>
      </c>
      <c r="G109" s="71"/>
      <c r="H109" s="72"/>
      <c r="I109" s="73" t="str">
        <f t="shared" si="5"/>
        <v/>
      </c>
    </row>
    <row r="110" spans="1:9" s="73" customFormat="1" ht="17">
      <c r="A110" s="71"/>
      <c r="B110" s="72"/>
      <c r="C110" s="73" t="str">
        <f t="shared" si="3"/>
        <v/>
      </c>
      <c r="D110" s="71"/>
      <c r="E110" s="72"/>
      <c r="F110" s="73" t="str">
        <f t="shared" si="4"/>
        <v/>
      </c>
      <c r="G110" s="71"/>
      <c r="H110" s="72"/>
      <c r="I110" s="73" t="str">
        <f t="shared" si="5"/>
        <v/>
      </c>
    </row>
    <row r="111" spans="1:9" s="73" customFormat="1" ht="17">
      <c r="A111" s="71"/>
      <c r="B111" s="72"/>
      <c r="C111" s="73" t="str">
        <f t="shared" si="3"/>
        <v/>
      </c>
      <c r="D111" s="71"/>
      <c r="E111" s="72"/>
      <c r="F111" s="73" t="str">
        <f t="shared" si="4"/>
        <v/>
      </c>
      <c r="G111" s="71"/>
      <c r="H111" s="72"/>
      <c r="I111" s="73" t="str">
        <f t="shared" si="5"/>
        <v/>
      </c>
    </row>
    <row r="112" spans="1:9" s="73" customFormat="1" ht="17">
      <c r="A112" s="71"/>
      <c r="B112" s="72"/>
      <c r="C112" s="73" t="str">
        <f t="shared" si="3"/>
        <v/>
      </c>
      <c r="D112" s="71"/>
      <c r="E112" s="72"/>
      <c r="F112" s="73" t="str">
        <f t="shared" si="4"/>
        <v/>
      </c>
      <c r="G112" s="71"/>
      <c r="H112" s="72"/>
      <c r="I112" s="73" t="str">
        <f t="shared" si="5"/>
        <v/>
      </c>
    </row>
    <row r="113" spans="1:9" s="73" customFormat="1" ht="17">
      <c r="A113" s="71"/>
      <c r="B113" s="72"/>
      <c r="C113" s="73" t="str">
        <f t="shared" si="3"/>
        <v/>
      </c>
      <c r="D113" s="71"/>
      <c r="E113" s="72"/>
      <c r="F113" s="73" t="str">
        <f t="shared" si="4"/>
        <v/>
      </c>
      <c r="G113" s="71"/>
      <c r="H113" s="72"/>
      <c r="I113" s="73" t="str">
        <f t="shared" si="5"/>
        <v/>
      </c>
    </row>
    <row r="114" spans="1:9" s="73" customFormat="1" ht="17">
      <c r="A114" s="71"/>
      <c r="B114" s="72"/>
      <c r="C114" s="73" t="str">
        <f t="shared" si="3"/>
        <v/>
      </c>
      <c r="D114" s="71"/>
      <c r="E114" s="72"/>
      <c r="F114" s="73" t="str">
        <f t="shared" si="4"/>
        <v/>
      </c>
      <c r="G114" s="71"/>
      <c r="H114" s="72"/>
      <c r="I114" s="73" t="str">
        <f t="shared" si="5"/>
        <v/>
      </c>
    </row>
    <row r="115" spans="1:9" s="73" customFormat="1" ht="17">
      <c r="A115" s="71"/>
      <c r="B115" s="72"/>
      <c r="C115" s="73" t="str">
        <f t="shared" si="3"/>
        <v/>
      </c>
      <c r="D115" s="71"/>
      <c r="E115" s="72"/>
      <c r="F115" s="73" t="str">
        <f t="shared" si="4"/>
        <v/>
      </c>
      <c r="G115" s="71"/>
      <c r="H115" s="72"/>
      <c r="I115" s="73" t="str">
        <f t="shared" si="5"/>
        <v/>
      </c>
    </row>
    <row r="116" spans="1:9" s="73" customFormat="1" ht="17">
      <c r="A116" s="71"/>
      <c r="B116" s="72"/>
      <c r="C116" s="73" t="str">
        <f t="shared" si="3"/>
        <v/>
      </c>
      <c r="D116" s="71"/>
      <c r="E116" s="72"/>
      <c r="F116" s="73" t="str">
        <f t="shared" si="4"/>
        <v/>
      </c>
      <c r="G116" s="71"/>
      <c r="H116" s="72"/>
      <c r="I116" s="73" t="str">
        <f t="shared" si="5"/>
        <v/>
      </c>
    </row>
    <row r="117" spans="1:9" s="73" customFormat="1" ht="17">
      <c r="A117" s="71"/>
      <c r="B117" s="72"/>
      <c r="C117" s="73" t="str">
        <f t="shared" si="3"/>
        <v/>
      </c>
      <c r="D117" s="71"/>
      <c r="E117" s="72"/>
      <c r="F117" s="73" t="str">
        <f t="shared" si="4"/>
        <v/>
      </c>
      <c r="G117" s="71"/>
      <c r="H117" s="72"/>
      <c r="I117" s="73" t="str">
        <f t="shared" si="5"/>
        <v/>
      </c>
    </row>
    <row r="118" spans="1:9" s="73" customFormat="1" ht="17">
      <c r="A118" s="71"/>
      <c r="B118" s="72"/>
      <c r="C118" s="73" t="str">
        <f t="shared" si="3"/>
        <v/>
      </c>
      <c r="D118" s="71"/>
      <c r="E118" s="72"/>
      <c r="F118" s="73" t="str">
        <f t="shared" si="4"/>
        <v/>
      </c>
      <c r="G118" s="71"/>
      <c r="H118" s="72"/>
      <c r="I118" s="73" t="str">
        <f t="shared" si="5"/>
        <v/>
      </c>
    </row>
    <row r="119" spans="1:9" s="73" customFormat="1" ht="17">
      <c r="A119" s="71"/>
      <c r="B119" s="72"/>
      <c r="C119" s="73" t="str">
        <f t="shared" si="3"/>
        <v/>
      </c>
      <c r="D119" s="71"/>
      <c r="E119" s="72"/>
      <c r="F119" s="73" t="str">
        <f t="shared" si="4"/>
        <v/>
      </c>
      <c r="G119" s="71"/>
      <c r="H119" s="72"/>
      <c r="I119" s="73" t="str">
        <f t="shared" si="5"/>
        <v/>
      </c>
    </row>
    <row r="120" spans="1:9" s="73" customFormat="1" ht="17">
      <c r="A120" s="71"/>
      <c r="B120" s="72"/>
      <c r="C120" s="73" t="str">
        <f t="shared" si="3"/>
        <v/>
      </c>
      <c r="D120" s="71"/>
      <c r="E120" s="72"/>
      <c r="F120" s="73" t="str">
        <f t="shared" si="4"/>
        <v/>
      </c>
      <c r="G120" s="71"/>
      <c r="H120" s="72"/>
      <c r="I120" s="73" t="str">
        <f t="shared" si="5"/>
        <v/>
      </c>
    </row>
    <row r="121" spans="1:9" s="73" customFormat="1" ht="17">
      <c r="A121" s="71"/>
      <c r="B121" s="72"/>
      <c r="C121" s="73" t="str">
        <f t="shared" si="3"/>
        <v/>
      </c>
      <c r="D121" s="71"/>
      <c r="E121" s="72"/>
      <c r="F121" s="73" t="str">
        <f t="shared" si="4"/>
        <v/>
      </c>
      <c r="G121" s="71"/>
      <c r="H121" s="72"/>
      <c r="I121" s="73" t="str">
        <f t="shared" si="5"/>
        <v/>
      </c>
    </row>
    <row r="122" spans="1:9" s="73" customFormat="1" ht="17">
      <c r="A122" s="71"/>
      <c r="B122" s="72"/>
      <c r="C122" s="73" t="str">
        <f t="shared" si="3"/>
        <v/>
      </c>
      <c r="D122" s="71"/>
      <c r="E122" s="72"/>
      <c r="F122" s="73" t="str">
        <f t="shared" si="4"/>
        <v/>
      </c>
      <c r="G122" s="71"/>
      <c r="H122" s="72"/>
      <c r="I122" s="73" t="str">
        <f t="shared" si="5"/>
        <v/>
      </c>
    </row>
    <row r="123" spans="1:9" s="73" customFormat="1" ht="17">
      <c r="A123" s="71"/>
      <c r="B123" s="72"/>
      <c r="C123" s="73" t="str">
        <f t="shared" si="3"/>
        <v/>
      </c>
      <c r="D123" s="71"/>
      <c r="E123" s="72"/>
      <c r="F123" s="73" t="str">
        <f t="shared" si="4"/>
        <v/>
      </c>
      <c r="G123" s="71"/>
      <c r="H123" s="72"/>
      <c r="I123" s="73" t="str">
        <f t="shared" si="5"/>
        <v/>
      </c>
    </row>
    <row r="124" spans="1:9" s="73" customFormat="1" ht="17">
      <c r="A124" s="71"/>
      <c r="B124" s="72"/>
      <c r="C124" s="73" t="str">
        <f t="shared" si="3"/>
        <v/>
      </c>
      <c r="D124" s="71"/>
      <c r="E124" s="72"/>
      <c r="F124" s="73" t="str">
        <f t="shared" si="4"/>
        <v/>
      </c>
      <c r="G124" s="71"/>
      <c r="H124" s="72"/>
      <c r="I124" s="73" t="str">
        <f t="shared" si="5"/>
        <v/>
      </c>
    </row>
    <row r="125" spans="1:9" s="73" customFormat="1" ht="17">
      <c r="A125" s="71"/>
      <c r="B125" s="72"/>
      <c r="C125" s="73" t="str">
        <f t="shared" si="3"/>
        <v/>
      </c>
      <c r="D125" s="71"/>
      <c r="E125" s="72"/>
      <c r="F125" s="73" t="str">
        <f t="shared" si="4"/>
        <v/>
      </c>
      <c r="G125" s="71"/>
      <c r="H125" s="72"/>
      <c r="I125" s="73" t="str">
        <f t="shared" si="5"/>
        <v/>
      </c>
    </row>
    <row r="126" spans="1:9" s="73" customFormat="1" ht="17">
      <c r="A126" s="71"/>
      <c r="B126" s="72"/>
      <c r="C126" s="73" t="str">
        <f t="shared" si="3"/>
        <v/>
      </c>
      <c r="D126" s="71"/>
      <c r="E126" s="72"/>
      <c r="F126" s="73" t="str">
        <f t="shared" si="4"/>
        <v/>
      </c>
      <c r="G126" s="71"/>
      <c r="H126" s="72"/>
      <c r="I126" s="73" t="str">
        <f t="shared" si="5"/>
        <v/>
      </c>
    </row>
    <row r="127" spans="1:9" s="73" customFormat="1" ht="17">
      <c r="A127" s="71"/>
      <c r="B127" s="72"/>
      <c r="C127" s="73" t="str">
        <f t="shared" si="3"/>
        <v/>
      </c>
      <c r="D127" s="71"/>
      <c r="E127" s="72"/>
      <c r="F127" s="73" t="str">
        <f t="shared" si="4"/>
        <v/>
      </c>
      <c r="G127" s="71"/>
      <c r="H127" s="72"/>
      <c r="I127" s="73" t="str">
        <f t="shared" si="5"/>
        <v/>
      </c>
    </row>
    <row r="128" spans="1:9" s="73" customFormat="1" ht="17">
      <c r="A128" s="71"/>
      <c r="B128" s="72"/>
      <c r="C128" s="73" t="str">
        <f t="shared" si="3"/>
        <v/>
      </c>
      <c r="D128" s="71"/>
      <c r="E128" s="72"/>
      <c r="F128" s="73" t="str">
        <f t="shared" si="4"/>
        <v/>
      </c>
      <c r="G128" s="71"/>
      <c r="H128" s="72"/>
      <c r="I128" s="73" t="str">
        <f t="shared" si="5"/>
        <v/>
      </c>
    </row>
    <row r="129" spans="1:9" s="73" customFormat="1" ht="17">
      <c r="A129" s="71"/>
      <c r="B129" s="72"/>
      <c r="C129" s="73" t="str">
        <f t="shared" si="3"/>
        <v/>
      </c>
      <c r="D129" s="71"/>
      <c r="E129" s="72"/>
      <c r="F129" s="73" t="str">
        <f t="shared" si="4"/>
        <v/>
      </c>
      <c r="G129" s="71"/>
      <c r="H129" s="72"/>
      <c r="I129" s="73" t="str">
        <f t="shared" si="5"/>
        <v/>
      </c>
    </row>
    <row r="130" spans="1:9" s="73" customFormat="1" ht="17">
      <c r="A130" s="71"/>
      <c r="B130" s="72"/>
      <c r="C130" s="73" t="str">
        <f t="shared" si="3"/>
        <v/>
      </c>
      <c r="D130" s="71"/>
      <c r="E130" s="72"/>
      <c r="F130" s="73" t="str">
        <f t="shared" si="4"/>
        <v/>
      </c>
      <c r="G130" s="71"/>
      <c r="H130" s="72"/>
      <c r="I130" s="73" t="str">
        <f t="shared" si="5"/>
        <v/>
      </c>
    </row>
    <row r="131" spans="1:9" s="73" customFormat="1" ht="17">
      <c r="A131" s="71"/>
      <c r="B131" s="72"/>
      <c r="C131" s="73" t="str">
        <f t="shared" si="3"/>
        <v/>
      </c>
      <c r="D131" s="71"/>
      <c r="E131" s="72"/>
      <c r="F131" s="73" t="str">
        <f t="shared" si="4"/>
        <v/>
      </c>
      <c r="G131" s="71"/>
      <c r="H131" s="72"/>
      <c r="I131" s="73" t="str">
        <f t="shared" si="5"/>
        <v/>
      </c>
    </row>
    <row r="132" spans="1:9" s="73" customFormat="1" ht="17">
      <c r="A132" s="71"/>
      <c r="B132" s="72"/>
      <c r="C132" s="73" t="str">
        <f t="shared" si="3"/>
        <v/>
      </c>
      <c r="D132" s="71"/>
      <c r="E132" s="72"/>
      <c r="F132" s="73" t="str">
        <f t="shared" si="4"/>
        <v/>
      </c>
      <c r="G132" s="71"/>
      <c r="H132" s="72"/>
      <c r="I132" s="73" t="str">
        <f t="shared" si="5"/>
        <v/>
      </c>
    </row>
    <row r="133" spans="1:9" s="73" customFormat="1" ht="17">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7">
      <c r="A134" s="71"/>
      <c r="B134" s="72"/>
      <c r="C134" s="73" t="str">
        <f t="shared" si="6"/>
        <v/>
      </c>
      <c r="D134" s="71"/>
      <c r="E134" s="72"/>
      <c r="F134" s="73" t="str">
        <f t="shared" si="7"/>
        <v/>
      </c>
      <c r="G134" s="71"/>
      <c r="H134" s="72"/>
      <c r="I134" s="73" t="str">
        <f t="shared" si="8"/>
        <v/>
      </c>
    </row>
    <row r="135" spans="1:9" s="73" customFormat="1" ht="17">
      <c r="A135" s="71"/>
      <c r="B135" s="72"/>
      <c r="C135" s="73" t="str">
        <f t="shared" si="6"/>
        <v/>
      </c>
      <c r="D135" s="71"/>
      <c r="E135" s="72"/>
      <c r="F135" s="73" t="str">
        <f t="shared" si="7"/>
        <v/>
      </c>
      <c r="G135" s="71"/>
      <c r="H135" s="72"/>
      <c r="I135" s="73" t="str">
        <f t="shared" si="8"/>
        <v/>
      </c>
    </row>
    <row r="136" spans="1:9" s="73" customFormat="1" ht="17">
      <c r="A136" s="71"/>
      <c r="B136" s="72"/>
      <c r="C136" s="73" t="str">
        <f t="shared" si="6"/>
        <v/>
      </c>
      <c r="D136" s="71"/>
      <c r="E136" s="72"/>
      <c r="F136" s="73" t="str">
        <f t="shared" si="7"/>
        <v/>
      </c>
      <c r="G136" s="71"/>
      <c r="H136" s="72"/>
      <c r="I136" s="73" t="str">
        <f t="shared" si="8"/>
        <v/>
      </c>
    </row>
    <row r="137" spans="1:9" s="73" customFormat="1" ht="17">
      <c r="A137" s="71"/>
      <c r="B137" s="72"/>
      <c r="C137" s="73" t="str">
        <f t="shared" si="6"/>
        <v/>
      </c>
      <c r="D137" s="71"/>
      <c r="E137" s="72"/>
      <c r="F137" s="73" t="str">
        <f t="shared" si="7"/>
        <v/>
      </c>
      <c r="G137" s="71"/>
      <c r="H137" s="72"/>
      <c r="I137" s="73" t="str">
        <f t="shared" si="8"/>
        <v/>
      </c>
    </row>
    <row r="138" spans="1:9" s="73" customFormat="1" ht="17">
      <c r="A138" s="71"/>
      <c r="B138" s="72"/>
      <c r="C138" s="73" t="str">
        <f t="shared" si="6"/>
        <v/>
      </c>
      <c r="D138" s="71"/>
      <c r="E138" s="72"/>
      <c r="F138" s="73" t="str">
        <f t="shared" si="7"/>
        <v/>
      </c>
      <c r="G138" s="71"/>
      <c r="H138" s="72"/>
      <c r="I138" s="73" t="str">
        <f t="shared" si="8"/>
        <v/>
      </c>
    </row>
    <row r="139" spans="1:9" s="73" customFormat="1" ht="17">
      <c r="A139" s="71"/>
      <c r="B139" s="72"/>
      <c r="C139" s="73" t="str">
        <f t="shared" si="6"/>
        <v/>
      </c>
      <c r="D139" s="71"/>
      <c r="E139" s="72"/>
      <c r="F139" s="73" t="str">
        <f t="shared" si="7"/>
        <v/>
      </c>
      <c r="G139" s="71"/>
      <c r="H139" s="72"/>
      <c r="I139" s="73" t="str">
        <f t="shared" si="8"/>
        <v/>
      </c>
    </row>
    <row r="140" spans="1:9" s="73" customFormat="1" ht="17">
      <c r="A140" s="71"/>
      <c r="B140" s="72"/>
      <c r="C140" s="73" t="str">
        <f t="shared" si="6"/>
        <v/>
      </c>
      <c r="D140" s="71"/>
      <c r="E140" s="72"/>
      <c r="F140" s="73" t="str">
        <f t="shared" si="7"/>
        <v/>
      </c>
      <c r="G140" s="71"/>
      <c r="H140" s="72"/>
      <c r="I140" s="73" t="str">
        <f t="shared" si="8"/>
        <v/>
      </c>
    </row>
    <row r="141" spans="1:9" s="73" customFormat="1" ht="17">
      <c r="A141" s="71"/>
      <c r="B141" s="72"/>
      <c r="C141" s="73" t="str">
        <f t="shared" si="6"/>
        <v/>
      </c>
      <c r="D141" s="71"/>
      <c r="E141" s="72"/>
      <c r="F141" s="73" t="str">
        <f t="shared" si="7"/>
        <v/>
      </c>
      <c r="G141" s="71"/>
      <c r="H141" s="72"/>
      <c r="I141" s="73" t="str">
        <f t="shared" si="8"/>
        <v/>
      </c>
    </row>
    <row r="142" spans="1:9" s="73" customFormat="1" ht="17">
      <c r="A142" s="71"/>
      <c r="B142" s="72"/>
      <c r="C142" s="73" t="str">
        <f t="shared" si="6"/>
        <v/>
      </c>
      <c r="D142" s="71"/>
      <c r="E142" s="72"/>
      <c r="F142" s="73" t="str">
        <f t="shared" si="7"/>
        <v/>
      </c>
      <c r="G142" s="71"/>
      <c r="H142" s="72"/>
      <c r="I142" s="73" t="str">
        <f t="shared" si="8"/>
        <v/>
      </c>
    </row>
    <row r="143" spans="1:9" s="73" customFormat="1" ht="17">
      <c r="A143" s="71"/>
      <c r="B143" s="72"/>
      <c r="C143" s="73" t="str">
        <f t="shared" si="6"/>
        <v/>
      </c>
      <c r="D143" s="71"/>
      <c r="E143" s="72"/>
      <c r="F143" s="73" t="str">
        <f t="shared" si="7"/>
        <v/>
      </c>
      <c r="G143" s="71"/>
      <c r="H143" s="72"/>
      <c r="I143" s="73" t="str">
        <f t="shared" si="8"/>
        <v/>
      </c>
    </row>
    <row r="144" spans="1:9" s="73" customFormat="1" ht="17">
      <c r="A144" s="71"/>
      <c r="B144" s="72"/>
      <c r="C144" s="73" t="str">
        <f t="shared" si="6"/>
        <v/>
      </c>
      <c r="D144" s="71"/>
      <c r="E144" s="72"/>
      <c r="F144" s="73" t="str">
        <f t="shared" si="7"/>
        <v/>
      </c>
      <c r="G144" s="71"/>
      <c r="H144" s="72"/>
      <c r="I144" s="73" t="str">
        <f t="shared" si="8"/>
        <v/>
      </c>
    </row>
    <row r="145" spans="1:9" s="73" customFormat="1" ht="17">
      <c r="A145" s="71"/>
      <c r="B145" s="72"/>
      <c r="C145" s="73" t="str">
        <f t="shared" si="6"/>
        <v/>
      </c>
      <c r="D145" s="71"/>
      <c r="E145" s="72"/>
      <c r="F145" s="73" t="str">
        <f t="shared" si="7"/>
        <v/>
      </c>
      <c r="G145" s="71"/>
      <c r="H145" s="72"/>
      <c r="I145" s="73" t="str">
        <f t="shared" si="8"/>
        <v/>
      </c>
    </row>
    <row r="146" spans="1:9" s="73" customFormat="1" ht="17">
      <c r="A146" s="71"/>
      <c r="B146" s="72"/>
      <c r="C146" s="73" t="str">
        <f t="shared" si="6"/>
        <v/>
      </c>
      <c r="D146" s="71"/>
      <c r="E146" s="72"/>
      <c r="F146" s="73" t="str">
        <f t="shared" si="7"/>
        <v/>
      </c>
      <c r="G146" s="71"/>
      <c r="H146" s="72"/>
      <c r="I146" s="73" t="str">
        <f t="shared" si="8"/>
        <v/>
      </c>
    </row>
    <row r="147" spans="1:9" s="73" customFormat="1" ht="17">
      <c r="A147" s="71"/>
      <c r="B147" s="72"/>
      <c r="C147" s="73" t="str">
        <f t="shared" si="6"/>
        <v/>
      </c>
      <c r="D147" s="71"/>
      <c r="E147" s="72"/>
      <c r="F147" s="73" t="str">
        <f t="shared" si="7"/>
        <v/>
      </c>
      <c r="G147" s="71"/>
      <c r="H147" s="72"/>
      <c r="I147" s="73" t="str">
        <f t="shared" si="8"/>
        <v/>
      </c>
    </row>
    <row r="148" spans="1:9" s="73" customFormat="1" ht="17">
      <c r="A148" s="71"/>
      <c r="B148" s="72"/>
      <c r="C148" s="73" t="str">
        <f t="shared" si="6"/>
        <v/>
      </c>
      <c r="D148" s="71"/>
      <c r="E148" s="72"/>
      <c r="F148" s="73" t="str">
        <f t="shared" si="7"/>
        <v/>
      </c>
      <c r="G148" s="71"/>
      <c r="H148" s="72"/>
      <c r="I148" s="73" t="str">
        <f t="shared" si="8"/>
        <v/>
      </c>
    </row>
    <row r="149" spans="1:9" s="73" customFormat="1" ht="17">
      <c r="A149" s="71"/>
      <c r="B149" s="72"/>
      <c r="C149" s="73" t="str">
        <f t="shared" si="6"/>
        <v/>
      </c>
      <c r="D149" s="71"/>
      <c r="E149" s="72"/>
      <c r="F149" s="73" t="str">
        <f t="shared" si="7"/>
        <v/>
      </c>
      <c r="G149" s="71"/>
      <c r="H149" s="72"/>
      <c r="I149" s="73" t="str">
        <f t="shared" si="8"/>
        <v/>
      </c>
    </row>
    <row r="150" spans="1:9" s="73" customFormat="1" ht="17">
      <c r="A150" s="71"/>
      <c r="B150" s="72"/>
      <c r="C150" s="73" t="str">
        <f t="shared" si="6"/>
        <v/>
      </c>
      <c r="D150" s="71"/>
      <c r="E150" s="72"/>
      <c r="F150" s="73" t="str">
        <f t="shared" si="7"/>
        <v/>
      </c>
      <c r="G150" s="71"/>
      <c r="H150" s="72"/>
      <c r="I150" s="73" t="str">
        <f t="shared" si="8"/>
        <v/>
      </c>
    </row>
    <row r="151" spans="1:9" s="73" customFormat="1" ht="17">
      <c r="A151" s="71"/>
      <c r="B151" s="72"/>
      <c r="C151" s="73" t="str">
        <f t="shared" si="6"/>
        <v/>
      </c>
      <c r="D151" s="71"/>
      <c r="E151" s="72"/>
      <c r="F151" s="73" t="str">
        <f t="shared" si="7"/>
        <v/>
      </c>
      <c r="G151" s="71"/>
      <c r="H151" s="72"/>
      <c r="I151" s="73" t="str">
        <f t="shared" si="8"/>
        <v/>
      </c>
    </row>
    <row r="152" spans="1:9" s="73" customFormat="1" ht="17">
      <c r="A152" s="71"/>
      <c r="B152" s="72"/>
      <c r="C152" s="73" t="str">
        <f t="shared" si="6"/>
        <v/>
      </c>
      <c r="D152" s="71"/>
      <c r="E152" s="72"/>
      <c r="F152" s="73" t="str">
        <f t="shared" si="7"/>
        <v/>
      </c>
      <c r="G152" s="71"/>
      <c r="H152" s="72"/>
      <c r="I152" s="73" t="str">
        <f t="shared" si="8"/>
        <v/>
      </c>
    </row>
    <row r="153" spans="1:9" s="73" customFormat="1" ht="17">
      <c r="A153" s="71"/>
      <c r="B153" s="72"/>
      <c r="C153" s="73" t="str">
        <f t="shared" si="6"/>
        <v/>
      </c>
      <c r="D153" s="71"/>
      <c r="E153" s="72"/>
      <c r="F153" s="73" t="str">
        <f t="shared" si="7"/>
        <v/>
      </c>
      <c r="G153" s="71"/>
      <c r="H153" s="72"/>
      <c r="I153" s="73" t="str">
        <f t="shared" si="8"/>
        <v/>
      </c>
    </row>
    <row r="154" spans="1:9" s="73" customFormat="1" ht="17">
      <c r="A154" s="71"/>
      <c r="B154" s="72"/>
      <c r="C154" s="73" t="str">
        <f t="shared" si="6"/>
        <v/>
      </c>
      <c r="D154" s="71"/>
      <c r="E154" s="72"/>
      <c r="F154" s="73" t="str">
        <f t="shared" si="7"/>
        <v/>
      </c>
      <c r="G154" s="71"/>
      <c r="H154" s="72"/>
      <c r="I154" s="73" t="str">
        <f t="shared" si="8"/>
        <v/>
      </c>
    </row>
    <row r="155" spans="1:9" s="73" customFormat="1" ht="17">
      <c r="A155" s="71"/>
      <c r="B155" s="72"/>
      <c r="C155" s="73" t="str">
        <f t="shared" si="6"/>
        <v/>
      </c>
      <c r="D155" s="71"/>
      <c r="E155" s="72"/>
      <c r="F155" s="73" t="str">
        <f t="shared" si="7"/>
        <v/>
      </c>
      <c r="G155" s="71"/>
      <c r="H155" s="72"/>
      <c r="I155" s="73" t="str">
        <f t="shared" si="8"/>
        <v/>
      </c>
    </row>
    <row r="156" spans="1:9" s="73" customFormat="1" ht="17">
      <c r="A156" s="71"/>
      <c r="B156" s="72"/>
      <c r="C156" s="73" t="str">
        <f t="shared" si="6"/>
        <v/>
      </c>
      <c r="D156" s="71"/>
      <c r="E156" s="72"/>
      <c r="F156" s="73" t="str">
        <f t="shared" si="7"/>
        <v/>
      </c>
      <c r="G156" s="71"/>
      <c r="H156" s="72"/>
      <c r="I156" s="73" t="str">
        <f t="shared" si="8"/>
        <v/>
      </c>
    </row>
    <row r="157" spans="1:9" s="73" customFormat="1" ht="17">
      <c r="A157" s="71"/>
      <c r="B157" s="72"/>
      <c r="C157" s="73" t="str">
        <f t="shared" si="6"/>
        <v/>
      </c>
      <c r="D157" s="71"/>
      <c r="E157" s="72"/>
      <c r="F157" s="73" t="str">
        <f t="shared" si="7"/>
        <v/>
      </c>
      <c r="G157" s="71"/>
      <c r="H157" s="72"/>
      <c r="I157" s="73" t="str">
        <f t="shared" si="8"/>
        <v/>
      </c>
    </row>
    <row r="158" spans="1:9" s="73" customFormat="1" ht="17">
      <c r="A158" s="71"/>
      <c r="B158" s="72"/>
      <c r="C158" s="73" t="str">
        <f t="shared" si="6"/>
        <v/>
      </c>
      <c r="D158" s="71"/>
      <c r="E158" s="72"/>
      <c r="F158" s="73" t="str">
        <f t="shared" si="7"/>
        <v/>
      </c>
      <c r="G158" s="71"/>
      <c r="H158" s="72"/>
      <c r="I158" s="73" t="str">
        <f t="shared" si="8"/>
        <v/>
      </c>
    </row>
    <row r="159" spans="1:9" s="73" customFormat="1" ht="17">
      <c r="A159" s="71"/>
      <c r="B159" s="72"/>
      <c r="C159" s="73" t="str">
        <f t="shared" si="6"/>
        <v/>
      </c>
      <c r="D159" s="71"/>
      <c r="E159" s="72"/>
      <c r="F159" s="73" t="str">
        <f t="shared" si="7"/>
        <v/>
      </c>
      <c r="G159" s="71"/>
      <c r="H159" s="72"/>
      <c r="I159" s="73" t="str">
        <f t="shared" si="8"/>
        <v/>
      </c>
    </row>
    <row r="160" spans="1:9" s="73" customFormat="1" ht="17">
      <c r="A160" s="71"/>
      <c r="B160" s="72"/>
      <c r="C160" s="73" t="str">
        <f t="shared" si="6"/>
        <v/>
      </c>
      <c r="D160" s="71"/>
      <c r="E160" s="72"/>
      <c r="F160" s="73" t="str">
        <f t="shared" si="7"/>
        <v/>
      </c>
      <c r="G160" s="71"/>
      <c r="H160" s="72"/>
      <c r="I160" s="73" t="str">
        <f t="shared" si="8"/>
        <v/>
      </c>
    </row>
    <row r="161" spans="1:9" s="73" customFormat="1" ht="17">
      <c r="A161" s="71"/>
      <c r="B161" s="72"/>
      <c r="C161" s="73" t="str">
        <f t="shared" si="6"/>
        <v/>
      </c>
      <c r="D161" s="71"/>
      <c r="E161" s="72"/>
      <c r="F161" s="73" t="str">
        <f t="shared" si="7"/>
        <v/>
      </c>
      <c r="G161" s="71"/>
      <c r="H161" s="72"/>
      <c r="I161" s="73" t="str">
        <f t="shared" si="8"/>
        <v/>
      </c>
    </row>
    <row r="162" spans="1:9" s="73" customFormat="1" ht="17">
      <c r="A162" s="71"/>
      <c r="B162" s="72"/>
      <c r="C162" s="73" t="str">
        <f t="shared" si="6"/>
        <v/>
      </c>
      <c r="D162" s="71"/>
      <c r="E162" s="72"/>
      <c r="F162" s="73" t="str">
        <f t="shared" si="7"/>
        <v/>
      </c>
      <c r="G162" s="71"/>
      <c r="H162" s="72"/>
      <c r="I162" s="73" t="str">
        <f t="shared" si="8"/>
        <v/>
      </c>
    </row>
    <row r="163" spans="1:9" s="73" customFormat="1" ht="17">
      <c r="A163" s="71"/>
      <c r="B163" s="72"/>
      <c r="C163" s="73" t="str">
        <f t="shared" si="6"/>
        <v/>
      </c>
      <c r="D163" s="71"/>
      <c r="E163" s="72"/>
      <c r="F163" s="73" t="str">
        <f t="shared" si="7"/>
        <v/>
      </c>
      <c r="G163" s="71"/>
      <c r="H163" s="72"/>
      <c r="I163" s="73" t="str">
        <f t="shared" si="8"/>
        <v/>
      </c>
    </row>
    <row r="164" spans="1:9" s="73" customFormat="1" ht="17">
      <c r="A164" s="71"/>
      <c r="B164" s="72"/>
      <c r="C164" s="73" t="str">
        <f t="shared" si="6"/>
        <v/>
      </c>
      <c r="D164" s="71"/>
      <c r="E164" s="72"/>
      <c r="F164" s="73" t="str">
        <f t="shared" si="7"/>
        <v/>
      </c>
      <c r="G164" s="71"/>
      <c r="H164" s="72"/>
      <c r="I164" s="73" t="str">
        <f t="shared" si="8"/>
        <v/>
      </c>
    </row>
    <row r="165" spans="1:9" s="73" customFormat="1" ht="17">
      <c r="A165" s="71"/>
      <c r="B165" s="72"/>
      <c r="C165" s="73" t="str">
        <f t="shared" si="6"/>
        <v/>
      </c>
      <c r="D165" s="71"/>
      <c r="E165" s="72"/>
      <c r="F165" s="73" t="str">
        <f t="shared" si="7"/>
        <v/>
      </c>
      <c r="G165" s="71"/>
      <c r="H165" s="72"/>
      <c r="I165" s="73" t="str">
        <f t="shared" si="8"/>
        <v/>
      </c>
    </row>
    <row r="166" spans="1:9" s="73" customFormat="1" ht="17">
      <c r="A166" s="71"/>
      <c r="B166" s="72"/>
      <c r="C166" s="73" t="str">
        <f t="shared" si="6"/>
        <v/>
      </c>
      <c r="D166" s="71"/>
      <c r="E166" s="72"/>
      <c r="F166" s="73" t="str">
        <f t="shared" si="7"/>
        <v/>
      </c>
      <c r="G166" s="71"/>
      <c r="H166" s="72"/>
      <c r="I166" s="73" t="str">
        <f t="shared" si="8"/>
        <v/>
      </c>
    </row>
    <row r="167" spans="1:9" s="73" customFormat="1" ht="17">
      <c r="A167" s="71"/>
      <c r="B167" s="72"/>
      <c r="C167" s="73" t="str">
        <f t="shared" si="6"/>
        <v/>
      </c>
      <c r="D167" s="71"/>
      <c r="E167" s="72"/>
      <c r="F167" s="73" t="str">
        <f t="shared" si="7"/>
        <v/>
      </c>
      <c r="G167" s="71"/>
      <c r="H167" s="72"/>
      <c r="I167" s="73" t="str">
        <f t="shared" si="8"/>
        <v/>
      </c>
    </row>
    <row r="168" spans="1:9" s="73" customFormat="1" ht="17">
      <c r="A168" s="71"/>
      <c r="B168" s="72"/>
      <c r="C168" s="73" t="str">
        <f t="shared" si="6"/>
        <v/>
      </c>
      <c r="D168" s="71"/>
      <c r="E168" s="72"/>
      <c r="F168" s="73" t="str">
        <f t="shared" si="7"/>
        <v/>
      </c>
      <c r="G168" s="71"/>
      <c r="H168" s="72"/>
      <c r="I168" s="73" t="str">
        <f t="shared" si="8"/>
        <v/>
      </c>
    </row>
    <row r="169" spans="1:9" s="73" customFormat="1" ht="17">
      <c r="A169" s="71"/>
      <c r="B169" s="72"/>
      <c r="C169" s="73" t="str">
        <f t="shared" si="6"/>
        <v/>
      </c>
      <c r="D169" s="71"/>
      <c r="E169" s="72"/>
      <c r="F169" s="73" t="str">
        <f t="shared" si="7"/>
        <v/>
      </c>
      <c r="G169" s="71"/>
      <c r="H169" s="72"/>
      <c r="I169" s="73" t="str">
        <f t="shared" si="8"/>
        <v/>
      </c>
    </row>
    <row r="170" spans="1:9" s="73" customFormat="1" ht="17">
      <c r="A170" s="71"/>
      <c r="B170" s="72"/>
      <c r="C170" s="73" t="str">
        <f t="shared" si="6"/>
        <v/>
      </c>
      <c r="D170" s="71"/>
      <c r="E170" s="72"/>
      <c r="F170" s="73" t="str">
        <f t="shared" si="7"/>
        <v/>
      </c>
      <c r="G170" s="71"/>
      <c r="H170" s="72"/>
      <c r="I170" s="73" t="str">
        <f t="shared" si="8"/>
        <v/>
      </c>
    </row>
    <row r="171" spans="1:9" s="73" customFormat="1" ht="17">
      <c r="A171" s="71"/>
      <c r="B171" s="72"/>
      <c r="C171" s="73" t="str">
        <f t="shared" si="6"/>
        <v/>
      </c>
      <c r="D171" s="71"/>
      <c r="E171" s="72"/>
      <c r="F171" s="73" t="str">
        <f t="shared" si="7"/>
        <v/>
      </c>
      <c r="G171" s="71"/>
      <c r="H171" s="72"/>
      <c r="I171" s="73" t="str">
        <f t="shared" si="8"/>
        <v/>
      </c>
    </row>
    <row r="172" spans="1:9" s="73" customFormat="1" ht="17">
      <c r="A172" s="71"/>
      <c r="B172" s="72"/>
      <c r="C172" s="73" t="str">
        <f t="shared" si="6"/>
        <v/>
      </c>
      <c r="D172" s="71"/>
      <c r="E172" s="72"/>
      <c r="F172" s="73" t="str">
        <f t="shared" si="7"/>
        <v/>
      </c>
      <c r="G172" s="71"/>
      <c r="H172" s="72"/>
      <c r="I172" s="73" t="str">
        <f t="shared" si="8"/>
        <v/>
      </c>
    </row>
    <row r="173" spans="1:9" s="73" customFormat="1" ht="17">
      <c r="A173" s="71"/>
      <c r="B173" s="72"/>
      <c r="C173" s="73" t="str">
        <f t="shared" si="6"/>
        <v/>
      </c>
      <c r="D173" s="71"/>
      <c r="E173" s="72"/>
      <c r="F173" s="73" t="str">
        <f t="shared" si="7"/>
        <v/>
      </c>
      <c r="G173" s="71"/>
      <c r="H173" s="72"/>
      <c r="I173" s="73" t="str">
        <f t="shared" si="8"/>
        <v/>
      </c>
    </row>
    <row r="174" spans="1:9" s="73" customFormat="1" ht="17">
      <c r="A174" s="71"/>
      <c r="B174" s="72"/>
      <c r="C174" s="73" t="str">
        <f t="shared" si="6"/>
        <v/>
      </c>
      <c r="D174" s="71"/>
      <c r="E174" s="72"/>
      <c r="F174" s="73" t="str">
        <f t="shared" si="7"/>
        <v/>
      </c>
      <c r="G174" s="71"/>
      <c r="H174" s="72"/>
      <c r="I174" s="73" t="str">
        <f t="shared" si="8"/>
        <v/>
      </c>
    </row>
    <row r="175" spans="1:9" s="73" customFormat="1" ht="17">
      <c r="A175" s="71"/>
      <c r="B175" s="72"/>
      <c r="C175" s="73" t="str">
        <f t="shared" si="6"/>
        <v/>
      </c>
      <c r="D175" s="71"/>
      <c r="E175" s="72"/>
      <c r="F175" s="73" t="str">
        <f t="shared" si="7"/>
        <v/>
      </c>
      <c r="G175" s="71"/>
      <c r="H175" s="72"/>
      <c r="I175" s="73" t="str">
        <f t="shared" si="8"/>
        <v/>
      </c>
    </row>
    <row r="176" spans="1:9" s="73" customFormat="1" ht="17">
      <c r="A176" s="71"/>
      <c r="B176" s="72"/>
      <c r="C176" s="73" t="str">
        <f t="shared" si="6"/>
        <v/>
      </c>
      <c r="D176" s="71"/>
      <c r="E176" s="72"/>
      <c r="F176" s="73" t="str">
        <f t="shared" si="7"/>
        <v/>
      </c>
      <c r="G176" s="71"/>
      <c r="H176" s="72"/>
      <c r="I176" s="73" t="str">
        <f t="shared" si="8"/>
        <v/>
      </c>
    </row>
    <row r="177" spans="1:9" s="73" customFormat="1" ht="17">
      <c r="A177" s="71"/>
      <c r="B177" s="72"/>
      <c r="C177" s="73" t="str">
        <f t="shared" si="6"/>
        <v/>
      </c>
      <c r="D177" s="71"/>
      <c r="E177" s="72"/>
      <c r="F177" s="73" t="str">
        <f t="shared" si="7"/>
        <v/>
      </c>
      <c r="G177" s="71"/>
      <c r="H177" s="72"/>
      <c r="I177" s="73" t="str">
        <f t="shared" si="8"/>
        <v/>
      </c>
    </row>
    <row r="178" spans="1:9" s="73" customFormat="1" ht="17">
      <c r="A178" s="71"/>
      <c r="B178" s="72"/>
      <c r="C178" s="73" t="str">
        <f t="shared" si="6"/>
        <v/>
      </c>
      <c r="D178" s="71"/>
      <c r="E178" s="72"/>
      <c r="F178" s="73" t="str">
        <f t="shared" si="7"/>
        <v/>
      </c>
      <c r="G178" s="71"/>
      <c r="H178" s="72"/>
      <c r="I178" s="73" t="str">
        <f t="shared" si="8"/>
        <v/>
      </c>
    </row>
    <row r="179" spans="1:9" s="73" customFormat="1" ht="17">
      <c r="A179" s="71"/>
      <c r="B179" s="72"/>
      <c r="C179" s="73" t="str">
        <f t="shared" si="6"/>
        <v/>
      </c>
      <c r="D179" s="71"/>
      <c r="E179" s="72"/>
      <c r="F179" s="73" t="str">
        <f t="shared" si="7"/>
        <v/>
      </c>
      <c r="G179" s="71"/>
      <c r="H179" s="72"/>
      <c r="I179" s="73" t="str">
        <f t="shared" si="8"/>
        <v/>
      </c>
    </row>
    <row r="180" spans="1:9" s="73" customFormat="1" ht="17">
      <c r="A180" s="71"/>
      <c r="B180" s="72"/>
      <c r="C180" s="73" t="str">
        <f t="shared" si="6"/>
        <v/>
      </c>
      <c r="D180" s="71"/>
      <c r="E180" s="72"/>
      <c r="F180" s="73" t="str">
        <f t="shared" si="7"/>
        <v/>
      </c>
      <c r="G180" s="71"/>
      <c r="H180" s="72"/>
      <c r="I180" s="73" t="str">
        <f t="shared" si="8"/>
        <v/>
      </c>
    </row>
    <row r="181" spans="1:9" s="73" customFormat="1" ht="17">
      <c r="A181" s="71"/>
      <c r="B181" s="72"/>
      <c r="C181" s="73" t="str">
        <f t="shared" si="6"/>
        <v/>
      </c>
      <c r="D181" s="71"/>
      <c r="E181" s="72"/>
      <c r="F181" s="73" t="str">
        <f t="shared" si="7"/>
        <v/>
      </c>
      <c r="G181" s="71"/>
      <c r="H181" s="72"/>
      <c r="I181" s="73" t="str">
        <f t="shared" si="8"/>
        <v/>
      </c>
    </row>
    <row r="182" spans="1:9" s="73" customFormat="1" ht="17">
      <c r="A182" s="71"/>
      <c r="B182" s="72"/>
      <c r="C182" s="73" t="str">
        <f t="shared" si="6"/>
        <v/>
      </c>
      <c r="D182" s="71"/>
      <c r="E182" s="72"/>
      <c r="F182" s="73" t="str">
        <f t="shared" si="7"/>
        <v/>
      </c>
      <c r="G182" s="71"/>
      <c r="H182" s="72"/>
      <c r="I182" s="73" t="str">
        <f t="shared" si="8"/>
        <v/>
      </c>
    </row>
    <row r="183" spans="1:9" s="73" customFormat="1" ht="17">
      <c r="A183" s="71"/>
      <c r="B183" s="72"/>
      <c r="C183" s="73" t="str">
        <f t="shared" si="6"/>
        <v/>
      </c>
      <c r="D183" s="71"/>
      <c r="E183" s="72"/>
      <c r="F183" s="73" t="str">
        <f t="shared" si="7"/>
        <v/>
      </c>
      <c r="G183" s="71"/>
      <c r="H183" s="72"/>
      <c r="I183" s="73" t="str">
        <f t="shared" si="8"/>
        <v/>
      </c>
    </row>
    <row r="184" spans="1:9" s="73" customFormat="1" ht="17">
      <c r="A184" s="71"/>
      <c r="B184" s="72"/>
      <c r="C184" s="73" t="str">
        <f t="shared" si="6"/>
        <v/>
      </c>
      <c r="D184" s="71"/>
      <c r="E184" s="72"/>
      <c r="F184" s="73" t="str">
        <f t="shared" si="7"/>
        <v/>
      </c>
      <c r="G184" s="71"/>
      <c r="H184" s="72"/>
      <c r="I184" s="73" t="str">
        <f t="shared" si="8"/>
        <v/>
      </c>
    </row>
    <row r="185" spans="1:9" s="73" customFormat="1" ht="17">
      <c r="A185" s="71"/>
      <c r="B185" s="72"/>
      <c r="C185" s="73" t="str">
        <f t="shared" si="6"/>
        <v/>
      </c>
      <c r="D185" s="71"/>
      <c r="E185" s="72"/>
      <c r="F185" s="73" t="str">
        <f t="shared" si="7"/>
        <v/>
      </c>
      <c r="G185" s="71"/>
      <c r="H185" s="72"/>
      <c r="I185" s="73" t="str">
        <f t="shared" si="8"/>
        <v/>
      </c>
    </row>
    <row r="186" spans="1:9" s="73" customFormat="1" ht="17">
      <c r="A186" s="71"/>
      <c r="B186" s="72"/>
      <c r="C186" s="73" t="str">
        <f t="shared" si="6"/>
        <v/>
      </c>
      <c r="D186" s="71"/>
      <c r="E186" s="72"/>
      <c r="F186" s="73" t="str">
        <f t="shared" si="7"/>
        <v/>
      </c>
      <c r="G186" s="71"/>
      <c r="H186" s="72"/>
      <c r="I186" s="73" t="str">
        <f t="shared" si="8"/>
        <v/>
      </c>
    </row>
    <row r="187" spans="1:9" s="73" customFormat="1" ht="17">
      <c r="A187" s="71"/>
      <c r="B187" s="72"/>
      <c r="C187" s="73" t="str">
        <f t="shared" si="6"/>
        <v/>
      </c>
      <c r="D187" s="71"/>
      <c r="E187" s="72"/>
      <c r="F187" s="73" t="str">
        <f t="shared" si="7"/>
        <v/>
      </c>
      <c r="G187" s="71"/>
      <c r="H187" s="72"/>
      <c r="I187" s="73" t="str">
        <f t="shared" si="8"/>
        <v/>
      </c>
    </row>
    <row r="188" spans="1:9" s="73" customFormat="1" ht="17">
      <c r="A188" s="71"/>
      <c r="B188" s="72"/>
      <c r="C188" s="73" t="str">
        <f t="shared" si="6"/>
        <v/>
      </c>
      <c r="D188" s="71"/>
      <c r="E188" s="72"/>
      <c r="F188" s="73" t="str">
        <f t="shared" si="7"/>
        <v/>
      </c>
      <c r="G188" s="71"/>
      <c r="H188" s="72"/>
      <c r="I188" s="73" t="str">
        <f t="shared" si="8"/>
        <v/>
      </c>
    </row>
    <row r="189" spans="1:9" s="73" customFormat="1" ht="17">
      <c r="A189" s="71"/>
      <c r="B189" s="72"/>
      <c r="C189" s="73" t="str">
        <f t="shared" si="6"/>
        <v/>
      </c>
      <c r="D189" s="71"/>
      <c r="E189" s="72"/>
      <c r="F189" s="73" t="str">
        <f t="shared" si="7"/>
        <v/>
      </c>
      <c r="G189" s="71"/>
      <c r="H189" s="72"/>
      <c r="I189" s="73" t="str">
        <f t="shared" si="8"/>
        <v/>
      </c>
    </row>
    <row r="190" spans="1:9" s="73" customFormat="1" ht="17">
      <c r="A190" s="71"/>
      <c r="B190" s="72"/>
      <c r="C190" s="73" t="str">
        <f t="shared" si="6"/>
        <v/>
      </c>
      <c r="D190" s="71"/>
      <c r="E190" s="72"/>
      <c r="F190" s="73" t="str">
        <f t="shared" si="7"/>
        <v/>
      </c>
      <c r="G190" s="71"/>
      <c r="H190" s="72"/>
      <c r="I190" s="73" t="str">
        <f t="shared" si="8"/>
        <v/>
      </c>
    </row>
    <row r="191" spans="1:9" s="73" customFormat="1" ht="17">
      <c r="A191" s="71"/>
      <c r="B191" s="72"/>
      <c r="C191" s="73" t="str">
        <f t="shared" si="6"/>
        <v/>
      </c>
      <c r="D191" s="71"/>
      <c r="E191" s="72"/>
      <c r="F191" s="73" t="str">
        <f t="shared" si="7"/>
        <v/>
      </c>
      <c r="G191" s="71"/>
      <c r="H191" s="72"/>
      <c r="I191" s="73" t="str">
        <f t="shared" si="8"/>
        <v/>
      </c>
    </row>
    <row r="192" spans="1:9" s="73" customFormat="1" ht="17">
      <c r="A192" s="71"/>
      <c r="B192" s="72"/>
      <c r="C192" s="73" t="str">
        <f t="shared" si="6"/>
        <v/>
      </c>
      <c r="D192" s="71"/>
      <c r="E192" s="72"/>
      <c r="F192" s="73" t="str">
        <f t="shared" si="7"/>
        <v/>
      </c>
      <c r="G192" s="71"/>
      <c r="H192" s="72"/>
      <c r="I192" s="73" t="str">
        <f t="shared" si="8"/>
        <v/>
      </c>
    </row>
    <row r="193" spans="1:9" s="73" customFormat="1" ht="17">
      <c r="A193" s="71"/>
      <c r="B193" s="72"/>
      <c r="C193" s="73" t="str">
        <f t="shared" si="6"/>
        <v/>
      </c>
      <c r="D193" s="71"/>
      <c r="E193" s="72"/>
      <c r="F193" s="73" t="str">
        <f t="shared" si="7"/>
        <v/>
      </c>
      <c r="G193" s="71"/>
      <c r="H193" s="72"/>
      <c r="I193" s="73" t="str">
        <f t="shared" si="8"/>
        <v/>
      </c>
    </row>
    <row r="194" spans="1:9" s="73" customFormat="1" ht="17">
      <c r="A194" s="71"/>
      <c r="B194" s="72"/>
      <c r="C194" s="73" t="str">
        <f t="shared" si="6"/>
        <v/>
      </c>
      <c r="D194" s="71"/>
      <c r="E194" s="72"/>
      <c r="F194" s="73" t="str">
        <f t="shared" si="7"/>
        <v/>
      </c>
      <c r="G194" s="71"/>
      <c r="H194" s="72"/>
      <c r="I194" s="73" t="str">
        <f t="shared" si="8"/>
        <v/>
      </c>
    </row>
    <row r="195" spans="1:9" s="73" customFormat="1" ht="17">
      <c r="A195" s="71"/>
      <c r="B195" s="72"/>
      <c r="C195" s="73" t="str">
        <f t="shared" si="6"/>
        <v/>
      </c>
      <c r="D195" s="71"/>
      <c r="E195" s="72"/>
      <c r="F195" s="73" t="str">
        <f t="shared" si="7"/>
        <v/>
      </c>
      <c r="G195" s="71"/>
      <c r="H195" s="72"/>
      <c r="I195" s="73" t="str">
        <f t="shared" si="8"/>
        <v/>
      </c>
    </row>
    <row r="196" spans="1:9" s="73" customFormat="1" ht="17">
      <c r="A196" s="71"/>
      <c r="B196" s="72"/>
      <c r="C196" s="73" t="str">
        <f t="shared" si="6"/>
        <v/>
      </c>
      <c r="D196" s="71"/>
      <c r="E196" s="72"/>
      <c r="F196" s="73" t="str">
        <f t="shared" si="7"/>
        <v/>
      </c>
      <c r="G196" s="71"/>
      <c r="H196" s="72"/>
      <c r="I196" s="73" t="str">
        <f t="shared" si="8"/>
        <v/>
      </c>
    </row>
    <row r="197" spans="1:9" s="73" customFormat="1" ht="17">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7">
      <c r="A198" s="71"/>
      <c r="B198" s="72"/>
      <c r="C198" s="73" t="str">
        <f t="shared" si="9"/>
        <v/>
      </c>
      <c r="D198" s="71"/>
      <c r="E198" s="72"/>
      <c r="F198" s="73" t="str">
        <f t="shared" si="10"/>
        <v/>
      </c>
      <c r="G198" s="71"/>
      <c r="H198" s="72"/>
      <c r="I198" s="73" t="str">
        <f t="shared" si="11"/>
        <v/>
      </c>
    </row>
    <row r="199" spans="1:9" s="73" customFormat="1" ht="17">
      <c r="A199" s="71"/>
      <c r="B199" s="72"/>
      <c r="C199" s="73" t="str">
        <f t="shared" si="9"/>
        <v/>
      </c>
      <c r="D199" s="71"/>
      <c r="E199" s="72"/>
      <c r="F199" s="73" t="str">
        <f t="shared" si="10"/>
        <v/>
      </c>
      <c r="G199" s="71"/>
      <c r="H199" s="72"/>
      <c r="I199" s="73" t="str">
        <f t="shared" si="11"/>
        <v/>
      </c>
    </row>
    <row r="200" spans="1:9" s="73" customFormat="1" ht="17">
      <c r="A200" s="71"/>
      <c r="B200" s="72"/>
      <c r="C200" s="73" t="str">
        <f t="shared" si="9"/>
        <v/>
      </c>
      <c r="D200" s="71"/>
      <c r="E200" s="72"/>
      <c r="F200" s="73" t="str">
        <f t="shared" si="10"/>
        <v/>
      </c>
      <c r="G200" s="71"/>
      <c r="H200" s="72"/>
      <c r="I200" s="73" t="str">
        <f t="shared" si="11"/>
        <v/>
      </c>
    </row>
    <row r="201" spans="1:9" s="73" customFormat="1" ht="17">
      <c r="A201" s="71"/>
      <c r="B201" s="72"/>
      <c r="C201" s="73" t="str">
        <f t="shared" si="9"/>
        <v/>
      </c>
      <c r="D201" s="71"/>
      <c r="E201" s="72"/>
      <c r="F201" s="73" t="str">
        <f t="shared" si="10"/>
        <v/>
      </c>
      <c r="G201" s="71"/>
      <c r="H201" s="72"/>
      <c r="I201" s="73" t="str">
        <f t="shared" si="11"/>
        <v/>
      </c>
    </row>
    <row r="202" spans="1:9" s="73" customFormat="1" ht="17">
      <c r="A202" s="71"/>
      <c r="B202" s="72"/>
      <c r="C202" s="73" t="str">
        <f t="shared" si="9"/>
        <v/>
      </c>
      <c r="D202" s="71"/>
      <c r="E202" s="72"/>
      <c r="F202" s="73" t="str">
        <f t="shared" si="10"/>
        <v/>
      </c>
      <c r="G202" s="71"/>
      <c r="H202" s="72"/>
      <c r="I202" s="73" t="str">
        <f t="shared" si="11"/>
        <v/>
      </c>
    </row>
    <row r="203" spans="1:9" s="73" customFormat="1" ht="17">
      <c r="A203" s="71"/>
      <c r="B203" s="72"/>
      <c r="C203" s="73" t="str">
        <f t="shared" si="9"/>
        <v/>
      </c>
      <c r="D203" s="71"/>
      <c r="E203" s="72"/>
      <c r="F203" s="73" t="str">
        <f t="shared" si="10"/>
        <v/>
      </c>
      <c r="G203" s="71"/>
      <c r="H203" s="72"/>
      <c r="I203" s="73" t="str">
        <f t="shared" si="11"/>
        <v/>
      </c>
    </row>
    <row r="204" spans="1:9" s="73" customFormat="1" ht="17">
      <c r="A204" s="71"/>
      <c r="B204" s="72"/>
      <c r="C204" s="73" t="str">
        <f t="shared" si="9"/>
        <v/>
      </c>
      <c r="D204" s="71"/>
      <c r="E204" s="72"/>
      <c r="F204" s="73" t="str">
        <f t="shared" si="10"/>
        <v/>
      </c>
      <c r="G204" s="71"/>
      <c r="H204" s="72"/>
      <c r="I204" s="73" t="str">
        <f t="shared" si="11"/>
        <v/>
      </c>
    </row>
    <row r="205" spans="1:9" s="73" customFormat="1" ht="17">
      <c r="A205" s="71"/>
      <c r="B205" s="72"/>
      <c r="C205" s="73" t="str">
        <f t="shared" si="9"/>
        <v/>
      </c>
      <c r="D205" s="71"/>
      <c r="E205" s="72"/>
      <c r="F205" s="73" t="str">
        <f t="shared" si="10"/>
        <v/>
      </c>
      <c r="G205" s="71"/>
      <c r="H205" s="72"/>
      <c r="I205" s="73" t="str">
        <f t="shared" si="11"/>
        <v/>
      </c>
    </row>
    <row r="206" spans="1:9" s="73" customFormat="1" ht="17">
      <c r="A206" s="71"/>
      <c r="B206" s="72"/>
      <c r="C206" s="73" t="str">
        <f t="shared" si="9"/>
        <v/>
      </c>
      <c r="D206" s="71"/>
      <c r="E206" s="72"/>
      <c r="F206" s="73" t="str">
        <f t="shared" si="10"/>
        <v/>
      </c>
      <c r="G206" s="71"/>
      <c r="H206" s="72"/>
      <c r="I206" s="73" t="str">
        <f t="shared" si="11"/>
        <v/>
      </c>
    </row>
    <row r="207" spans="1:9" s="73" customFormat="1" ht="17">
      <c r="A207" s="71"/>
      <c r="B207" s="72"/>
      <c r="C207" s="73" t="str">
        <f t="shared" si="9"/>
        <v/>
      </c>
      <c r="D207" s="71"/>
      <c r="E207" s="72"/>
      <c r="F207" s="73" t="str">
        <f t="shared" si="10"/>
        <v/>
      </c>
      <c r="G207" s="71"/>
      <c r="H207" s="72"/>
      <c r="I207" s="73" t="str">
        <f t="shared" si="11"/>
        <v/>
      </c>
    </row>
    <row r="208" spans="1:9" s="73" customFormat="1" ht="17">
      <c r="A208" s="71"/>
      <c r="B208" s="72"/>
      <c r="C208" s="73" t="str">
        <f t="shared" si="9"/>
        <v/>
      </c>
      <c r="D208" s="71"/>
      <c r="E208" s="72"/>
      <c r="F208" s="73" t="str">
        <f t="shared" si="10"/>
        <v/>
      </c>
      <c r="G208" s="71"/>
      <c r="H208" s="72"/>
      <c r="I208" s="73" t="str">
        <f t="shared" si="11"/>
        <v/>
      </c>
    </row>
    <row r="209" spans="1:9" s="73" customFormat="1" ht="17">
      <c r="A209" s="71"/>
      <c r="B209" s="72"/>
      <c r="C209" s="73" t="str">
        <f t="shared" si="9"/>
        <v/>
      </c>
      <c r="D209" s="71"/>
      <c r="E209" s="72"/>
      <c r="F209" s="73" t="str">
        <f t="shared" si="10"/>
        <v/>
      </c>
      <c r="G209" s="71"/>
      <c r="H209" s="72"/>
      <c r="I209" s="73" t="str">
        <f t="shared" si="11"/>
        <v/>
      </c>
    </row>
    <row r="210" spans="1:9" s="73" customFormat="1" ht="17">
      <c r="A210" s="71"/>
      <c r="B210" s="72"/>
      <c r="C210" s="73" t="str">
        <f t="shared" si="9"/>
        <v/>
      </c>
      <c r="D210" s="71"/>
      <c r="E210" s="72"/>
      <c r="F210" s="73" t="str">
        <f t="shared" si="10"/>
        <v/>
      </c>
      <c r="G210" s="71"/>
      <c r="H210" s="72"/>
      <c r="I210" s="73" t="str">
        <f t="shared" si="11"/>
        <v/>
      </c>
    </row>
    <row r="211" spans="1:9" s="73" customFormat="1" ht="17">
      <c r="A211" s="71"/>
      <c r="B211" s="72"/>
      <c r="C211" s="73" t="str">
        <f t="shared" si="9"/>
        <v/>
      </c>
      <c r="D211" s="71"/>
      <c r="E211" s="72"/>
      <c r="F211" s="73" t="str">
        <f t="shared" si="10"/>
        <v/>
      </c>
      <c r="G211" s="71"/>
      <c r="H211" s="72"/>
      <c r="I211" s="73" t="str">
        <f t="shared" si="11"/>
        <v/>
      </c>
    </row>
    <row r="212" spans="1:9" s="73" customFormat="1" ht="17">
      <c r="A212" s="71"/>
      <c r="B212" s="72"/>
      <c r="C212" s="73" t="str">
        <f t="shared" si="9"/>
        <v/>
      </c>
      <c r="D212" s="71"/>
      <c r="E212" s="72"/>
      <c r="F212" s="73" t="str">
        <f t="shared" si="10"/>
        <v/>
      </c>
      <c r="G212" s="71"/>
      <c r="H212" s="72"/>
      <c r="I212" s="73" t="str">
        <f t="shared" si="11"/>
        <v/>
      </c>
    </row>
    <row r="213" spans="1:9" s="73" customFormat="1" ht="17">
      <c r="A213" s="71"/>
      <c r="B213" s="72"/>
      <c r="C213" s="73" t="str">
        <f t="shared" si="9"/>
        <v/>
      </c>
      <c r="D213" s="71"/>
      <c r="E213" s="72"/>
      <c r="F213" s="73" t="str">
        <f t="shared" si="10"/>
        <v/>
      </c>
      <c r="G213" s="71"/>
      <c r="H213" s="72"/>
      <c r="I213" s="73" t="str">
        <f t="shared" si="11"/>
        <v/>
      </c>
    </row>
    <row r="214" spans="1:9" s="73" customFormat="1" ht="17">
      <c r="A214" s="71"/>
      <c r="B214" s="72"/>
      <c r="C214" s="73" t="str">
        <f t="shared" si="9"/>
        <v/>
      </c>
      <c r="D214" s="71"/>
      <c r="E214" s="72"/>
      <c r="F214" s="73" t="str">
        <f t="shared" si="10"/>
        <v/>
      </c>
      <c r="G214" s="71"/>
      <c r="H214" s="72"/>
      <c r="I214" s="73" t="str">
        <f t="shared" si="11"/>
        <v/>
      </c>
    </row>
    <row r="215" spans="1:9" s="73" customFormat="1" ht="17">
      <c r="A215" s="71"/>
      <c r="B215" s="72"/>
      <c r="C215" s="73" t="str">
        <f t="shared" si="9"/>
        <v/>
      </c>
      <c r="D215" s="71"/>
      <c r="E215" s="72"/>
      <c r="F215" s="73" t="str">
        <f t="shared" si="10"/>
        <v/>
      </c>
      <c r="G215" s="71"/>
      <c r="H215" s="72"/>
      <c r="I215" s="73" t="str">
        <f t="shared" si="11"/>
        <v/>
      </c>
    </row>
    <row r="216" spans="1:9" s="73" customFormat="1" ht="17">
      <c r="A216" s="71"/>
      <c r="B216" s="72"/>
      <c r="C216" s="73" t="str">
        <f t="shared" si="9"/>
        <v/>
      </c>
      <c r="D216" s="71"/>
      <c r="E216" s="72"/>
      <c r="F216" s="73" t="str">
        <f t="shared" si="10"/>
        <v/>
      </c>
      <c r="G216" s="71"/>
      <c r="H216" s="72"/>
      <c r="I216" s="73" t="str">
        <f t="shared" si="11"/>
        <v/>
      </c>
    </row>
    <row r="217" spans="1:9" s="73" customFormat="1" ht="17">
      <c r="A217" s="71"/>
      <c r="B217" s="72"/>
      <c r="C217" s="73" t="str">
        <f t="shared" si="9"/>
        <v/>
      </c>
      <c r="D217" s="71"/>
      <c r="E217" s="72"/>
      <c r="F217" s="73" t="str">
        <f t="shared" si="10"/>
        <v/>
      </c>
      <c r="G217" s="71"/>
      <c r="H217" s="72"/>
      <c r="I217" s="73" t="str">
        <f t="shared" si="11"/>
        <v/>
      </c>
    </row>
    <row r="218" spans="1:9" s="73" customFormat="1" ht="17">
      <c r="A218" s="71"/>
      <c r="B218" s="72"/>
      <c r="C218" s="73" t="str">
        <f t="shared" si="9"/>
        <v/>
      </c>
      <c r="D218" s="71"/>
      <c r="E218" s="72"/>
      <c r="F218" s="73" t="str">
        <f t="shared" si="10"/>
        <v/>
      </c>
      <c r="G218" s="71"/>
      <c r="H218" s="72"/>
      <c r="I218" s="73" t="str">
        <f t="shared" si="11"/>
        <v/>
      </c>
    </row>
    <row r="219" spans="1:9" s="73" customFormat="1" ht="17">
      <c r="A219" s="71"/>
      <c r="B219" s="72"/>
      <c r="C219" s="73" t="str">
        <f t="shared" si="9"/>
        <v/>
      </c>
      <c r="D219" s="71"/>
      <c r="E219" s="72"/>
      <c r="F219" s="73" t="str">
        <f t="shared" si="10"/>
        <v/>
      </c>
      <c r="G219" s="71"/>
      <c r="H219" s="72"/>
      <c r="I219" s="73" t="str">
        <f t="shared" si="11"/>
        <v/>
      </c>
    </row>
    <row r="220" spans="1:9" s="73" customFormat="1" ht="17">
      <c r="A220" s="71"/>
      <c r="B220" s="72"/>
      <c r="C220" s="73" t="str">
        <f t="shared" si="9"/>
        <v/>
      </c>
      <c r="D220" s="71"/>
      <c r="E220" s="72"/>
      <c r="F220" s="73" t="str">
        <f t="shared" si="10"/>
        <v/>
      </c>
      <c r="G220" s="71"/>
      <c r="H220" s="72"/>
      <c r="I220" s="73" t="str">
        <f t="shared" si="11"/>
        <v/>
      </c>
    </row>
    <row r="221" spans="1:9" s="73" customFormat="1" ht="17">
      <c r="A221" s="71"/>
      <c r="B221" s="72"/>
      <c r="C221" s="73" t="str">
        <f t="shared" si="9"/>
        <v/>
      </c>
      <c r="D221" s="71"/>
      <c r="E221" s="72"/>
      <c r="F221" s="73" t="str">
        <f t="shared" si="10"/>
        <v/>
      </c>
      <c r="G221" s="71"/>
      <c r="H221" s="72"/>
      <c r="I221" s="73" t="str">
        <f t="shared" si="11"/>
        <v/>
      </c>
    </row>
    <row r="222" spans="1:9" s="73" customFormat="1" ht="17">
      <c r="A222" s="71"/>
      <c r="B222" s="72"/>
      <c r="C222" s="73" t="str">
        <f t="shared" si="9"/>
        <v/>
      </c>
      <c r="D222" s="71"/>
      <c r="E222" s="72"/>
      <c r="F222" s="73" t="str">
        <f t="shared" si="10"/>
        <v/>
      </c>
      <c r="G222" s="71"/>
      <c r="H222" s="72"/>
      <c r="I222" s="73" t="str">
        <f t="shared" si="11"/>
        <v/>
      </c>
    </row>
    <row r="223" spans="1:9" s="73" customFormat="1" ht="17">
      <c r="A223" s="71"/>
      <c r="B223" s="72"/>
      <c r="C223" s="73" t="str">
        <f t="shared" si="9"/>
        <v/>
      </c>
      <c r="D223" s="71"/>
      <c r="E223" s="72"/>
      <c r="F223" s="73" t="str">
        <f t="shared" si="10"/>
        <v/>
      </c>
      <c r="G223" s="71"/>
      <c r="H223" s="72"/>
      <c r="I223" s="73" t="str">
        <f t="shared" si="11"/>
        <v/>
      </c>
    </row>
    <row r="224" spans="1:9" s="73" customFormat="1" ht="17">
      <c r="A224" s="71"/>
      <c r="B224" s="72"/>
      <c r="C224" s="73" t="str">
        <f t="shared" si="9"/>
        <v/>
      </c>
      <c r="D224" s="71"/>
      <c r="E224" s="72"/>
      <c r="F224" s="73" t="str">
        <f t="shared" si="10"/>
        <v/>
      </c>
      <c r="G224" s="71"/>
      <c r="H224" s="72"/>
      <c r="I224" s="73" t="str">
        <f t="shared" si="11"/>
        <v/>
      </c>
    </row>
    <row r="225" spans="1:9" s="73" customFormat="1" ht="17">
      <c r="A225" s="71"/>
      <c r="B225" s="72"/>
      <c r="C225" s="73" t="str">
        <f t="shared" si="9"/>
        <v/>
      </c>
      <c r="D225" s="71"/>
      <c r="E225" s="72"/>
      <c r="F225" s="73" t="str">
        <f t="shared" si="10"/>
        <v/>
      </c>
      <c r="G225" s="71"/>
      <c r="H225" s="72"/>
      <c r="I225" s="73" t="str">
        <f t="shared" si="11"/>
        <v/>
      </c>
    </row>
    <row r="226" spans="1:9" s="73" customFormat="1" ht="17">
      <c r="A226" s="71"/>
      <c r="B226" s="72"/>
      <c r="C226" s="73" t="str">
        <f t="shared" si="9"/>
        <v/>
      </c>
      <c r="D226" s="71"/>
      <c r="E226" s="72"/>
      <c r="F226" s="73" t="str">
        <f t="shared" si="10"/>
        <v/>
      </c>
      <c r="G226" s="71"/>
      <c r="H226" s="72"/>
      <c r="I226" s="73" t="str">
        <f t="shared" si="11"/>
        <v/>
      </c>
    </row>
    <row r="227" spans="1:9" s="73" customFormat="1" ht="17">
      <c r="A227" s="71"/>
      <c r="B227" s="72"/>
      <c r="C227" s="73" t="str">
        <f t="shared" si="9"/>
        <v/>
      </c>
      <c r="D227" s="71"/>
      <c r="E227" s="72"/>
      <c r="F227" s="73" t="str">
        <f t="shared" si="10"/>
        <v/>
      </c>
      <c r="G227" s="71"/>
      <c r="H227" s="72"/>
      <c r="I227" s="73" t="str">
        <f t="shared" si="11"/>
        <v/>
      </c>
    </row>
    <row r="228" spans="1:9" s="73" customFormat="1" ht="17">
      <c r="A228" s="71"/>
      <c r="B228" s="72"/>
      <c r="C228" s="73" t="str">
        <f t="shared" si="9"/>
        <v/>
      </c>
      <c r="D228" s="71"/>
      <c r="E228" s="72"/>
      <c r="F228" s="73" t="str">
        <f t="shared" si="10"/>
        <v/>
      </c>
      <c r="G228" s="71"/>
      <c r="H228" s="72"/>
      <c r="I228" s="73" t="str">
        <f t="shared" si="11"/>
        <v/>
      </c>
    </row>
    <row r="229" spans="1:9" s="73" customFormat="1" ht="17">
      <c r="A229" s="71"/>
      <c r="B229" s="72"/>
      <c r="C229" s="73" t="str">
        <f t="shared" si="9"/>
        <v/>
      </c>
      <c r="D229" s="71"/>
      <c r="E229" s="72"/>
      <c r="F229" s="73" t="str">
        <f t="shared" si="10"/>
        <v/>
      </c>
      <c r="G229" s="71"/>
      <c r="H229" s="72"/>
      <c r="I229" s="73" t="str">
        <f t="shared" si="11"/>
        <v/>
      </c>
    </row>
    <row r="230" spans="1:9" s="73" customFormat="1" ht="17">
      <c r="A230" s="71"/>
      <c r="B230" s="72"/>
      <c r="C230" s="73" t="str">
        <f t="shared" si="9"/>
        <v/>
      </c>
      <c r="D230" s="71"/>
      <c r="E230" s="72"/>
      <c r="F230" s="73" t="str">
        <f t="shared" si="10"/>
        <v/>
      </c>
      <c r="G230" s="71"/>
      <c r="H230" s="72"/>
      <c r="I230" s="73" t="str">
        <f t="shared" si="11"/>
        <v/>
      </c>
    </row>
    <row r="231" spans="1:9" s="73" customFormat="1" ht="17">
      <c r="A231" s="71"/>
      <c r="B231" s="72"/>
      <c r="C231" s="73" t="str">
        <f t="shared" si="9"/>
        <v/>
      </c>
      <c r="D231" s="71"/>
      <c r="E231" s="72"/>
      <c r="F231" s="73" t="str">
        <f t="shared" si="10"/>
        <v/>
      </c>
      <c r="G231" s="71"/>
      <c r="H231" s="72"/>
      <c r="I231" s="73" t="str">
        <f t="shared" si="11"/>
        <v/>
      </c>
    </row>
    <row r="232" spans="1:9" s="73" customFormat="1" ht="17">
      <c r="A232" s="71"/>
      <c r="B232" s="72"/>
      <c r="C232" s="73" t="str">
        <f t="shared" si="9"/>
        <v/>
      </c>
      <c r="D232" s="71"/>
      <c r="E232" s="72"/>
      <c r="F232" s="73" t="str">
        <f t="shared" si="10"/>
        <v/>
      </c>
      <c r="G232" s="71"/>
      <c r="H232" s="72"/>
      <c r="I232" s="73" t="str">
        <f t="shared" si="11"/>
        <v/>
      </c>
    </row>
    <row r="233" spans="1:9" s="73" customFormat="1" ht="17">
      <c r="A233" s="71"/>
      <c r="B233" s="72"/>
      <c r="C233" s="73" t="str">
        <f t="shared" si="9"/>
        <v/>
      </c>
      <c r="D233" s="71"/>
      <c r="E233" s="72"/>
      <c r="F233" s="73" t="str">
        <f t="shared" si="10"/>
        <v/>
      </c>
      <c r="G233" s="71"/>
      <c r="H233" s="72"/>
      <c r="I233" s="73" t="str">
        <f t="shared" si="11"/>
        <v/>
      </c>
    </row>
    <row r="234" spans="1:9" s="73" customFormat="1" ht="17">
      <c r="A234" s="71"/>
      <c r="B234" s="72"/>
      <c r="C234" s="73" t="str">
        <f t="shared" si="9"/>
        <v/>
      </c>
      <c r="D234" s="71"/>
      <c r="E234" s="72"/>
      <c r="F234" s="73" t="str">
        <f t="shared" si="10"/>
        <v/>
      </c>
      <c r="G234" s="71"/>
      <c r="H234" s="72"/>
      <c r="I234" s="73" t="str">
        <f t="shared" si="11"/>
        <v/>
      </c>
    </row>
    <row r="235" spans="1:9" s="73" customFormat="1" ht="17">
      <c r="A235" s="71"/>
      <c r="B235" s="72"/>
      <c r="C235" s="73" t="str">
        <f t="shared" si="9"/>
        <v/>
      </c>
      <c r="D235" s="71"/>
      <c r="E235" s="72"/>
      <c r="F235" s="73" t="str">
        <f t="shared" si="10"/>
        <v/>
      </c>
      <c r="G235" s="71"/>
      <c r="H235" s="72"/>
      <c r="I235" s="73" t="str">
        <f t="shared" si="11"/>
        <v/>
      </c>
    </row>
    <row r="236" spans="1:9" s="73" customFormat="1" ht="17">
      <c r="A236" s="71"/>
      <c r="B236" s="72"/>
      <c r="C236" s="73" t="str">
        <f t="shared" si="9"/>
        <v/>
      </c>
      <c r="D236" s="71"/>
      <c r="E236" s="72"/>
      <c r="F236" s="73" t="str">
        <f t="shared" si="10"/>
        <v/>
      </c>
      <c r="G236" s="71"/>
      <c r="H236" s="72"/>
      <c r="I236" s="73" t="str">
        <f t="shared" si="11"/>
        <v/>
      </c>
    </row>
    <row r="237" spans="1:9" s="73" customFormat="1" ht="17">
      <c r="A237" s="71"/>
      <c r="B237" s="72"/>
      <c r="C237" s="73" t="str">
        <f t="shared" si="9"/>
        <v/>
      </c>
      <c r="D237" s="71"/>
      <c r="E237" s="72"/>
      <c r="F237" s="73" t="str">
        <f t="shared" si="10"/>
        <v/>
      </c>
      <c r="G237" s="71"/>
      <c r="H237" s="72"/>
      <c r="I237" s="73" t="str">
        <f t="shared" si="11"/>
        <v/>
      </c>
    </row>
    <row r="238" spans="1:9" s="73" customFormat="1" ht="17">
      <c r="A238" s="71"/>
      <c r="B238" s="72"/>
      <c r="C238" s="73" t="str">
        <f t="shared" si="9"/>
        <v/>
      </c>
      <c r="D238" s="71"/>
      <c r="E238" s="72"/>
      <c r="F238" s="73" t="str">
        <f t="shared" si="10"/>
        <v/>
      </c>
      <c r="G238" s="71"/>
      <c r="H238" s="72"/>
      <c r="I238" s="73" t="str">
        <f t="shared" si="11"/>
        <v/>
      </c>
    </row>
    <row r="239" spans="1:9" s="73" customFormat="1" ht="17">
      <c r="A239" s="71"/>
      <c r="B239" s="72"/>
      <c r="C239" s="73" t="str">
        <f t="shared" si="9"/>
        <v/>
      </c>
      <c r="D239" s="71"/>
      <c r="E239" s="72"/>
      <c r="F239" s="73" t="str">
        <f t="shared" si="10"/>
        <v/>
      </c>
      <c r="G239" s="71"/>
      <c r="H239" s="72"/>
      <c r="I239" s="73" t="str">
        <f t="shared" si="11"/>
        <v/>
      </c>
    </row>
    <row r="240" spans="1:9" s="73" customFormat="1" ht="17">
      <c r="A240" s="71"/>
      <c r="B240" s="72"/>
      <c r="C240" s="73" t="str">
        <f t="shared" si="9"/>
        <v/>
      </c>
      <c r="D240" s="71"/>
      <c r="E240" s="72"/>
      <c r="F240" s="73" t="str">
        <f t="shared" si="10"/>
        <v/>
      </c>
      <c r="G240" s="71"/>
      <c r="H240" s="72"/>
      <c r="I240" s="73" t="str">
        <f t="shared" si="11"/>
        <v/>
      </c>
    </row>
    <row r="241" spans="1:9" s="73" customFormat="1" ht="17">
      <c r="A241" s="71"/>
      <c r="B241" s="72"/>
      <c r="C241" s="73" t="str">
        <f t="shared" si="9"/>
        <v/>
      </c>
      <c r="D241" s="71"/>
      <c r="E241" s="72"/>
      <c r="F241" s="73" t="str">
        <f t="shared" si="10"/>
        <v/>
      </c>
      <c r="G241" s="71"/>
      <c r="H241" s="72"/>
      <c r="I241" s="73" t="str">
        <f t="shared" si="11"/>
        <v/>
      </c>
    </row>
    <row r="242" spans="1:9" s="73" customFormat="1" ht="17">
      <c r="A242" s="71"/>
      <c r="B242" s="72"/>
      <c r="C242" s="73" t="str">
        <f t="shared" si="9"/>
        <v/>
      </c>
      <c r="D242" s="71"/>
      <c r="E242" s="72"/>
      <c r="F242" s="73" t="str">
        <f t="shared" si="10"/>
        <v/>
      </c>
      <c r="G242" s="71"/>
      <c r="H242" s="72"/>
      <c r="I242" s="73" t="str">
        <f t="shared" si="11"/>
        <v/>
      </c>
    </row>
    <row r="243" spans="1:9" s="73" customFormat="1" ht="17">
      <c r="A243" s="71"/>
      <c r="B243" s="72"/>
      <c r="C243" s="73" t="str">
        <f t="shared" si="9"/>
        <v/>
      </c>
      <c r="D243" s="71"/>
      <c r="E243" s="72"/>
      <c r="F243" s="73" t="str">
        <f t="shared" si="10"/>
        <v/>
      </c>
      <c r="G243" s="71"/>
      <c r="H243" s="72"/>
      <c r="I243" s="73" t="str">
        <f t="shared" si="11"/>
        <v/>
      </c>
    </row>
    <row r="244" spans="1:9" s="73" customFormat="1" ht="17">
      <c r="A244" s="71"/>
      <c r="B244" s="72"/>
      <c r="C244" s="73" t="str">
        <f t="shared" si="9"/>
        <v/>
      </c>
      <c r="D244" s="71"/>
      <c r="E244" s="72"/>
      <c r="F244" s="73" t="str">
        <f t="shared" si="10"/>
        <v/>
      </c>
      <c r="G244" s="71"/>
      <c r="H244" s="72"/>
      <c r="I244" s="73" t="str">
        <f t="shared" si="11"/>
        <v/>
      </c>
    </row>
    <row r="245" spans="1:9" s="73" customFormat="1" ht="17">
      <c r="A245" s="71"/>
      <c r="B245" s="72"/>
      <c r="C245" s="73" t="str">
        <f t="shared" si="9"/>
        <v/>
      </c>
      <c r="D245" s="71"/>
      <c r="E245" s="72"/>
      <c r="F245" s="73" t="str">
        <f t="shared" si="10"/>
        <v/>
      </c>
      <c r="G245" s="71"/>
      <c r="H245" s="72"/>
      <c r="I245" s="73" t="str">
        <f t="shared" si="11"/>
        <v/>
      </c>
    </row>
    <row r="246" spans="1:9" s="73" customFormat="1" ht="17">
      <c r="A246" s="71"/>
      <c r="B246" s="72"/>
      <c r="C246" s="73" t="str">
        <f t="shared" si="9"/>
        <v/>
      </c>
      <c r="D246" s="71"/>
      <c r="E246" s="72"/>
      <c r="F246" s="73" t="str">
        <f t="shared" si="10"/>
        <v/>
      </c>
      <c r="G246" s="71"/>
      <c r="H246" s="72"/>
      <c r="I246" s="73" t="str">
        <f t="shared" si="11"/>
        <v/>
      </c>
    </row>
    <row r="247" spans="1:9" s="73" customFormat="1" ht="17">
      <c r="A247" s="71"/>
      <c r="B247" s="72"/>
      <c r="C247" s="73" t="str">
        <f t="shared" si="9"/>
        <v/>
      </c>
      <c r="D247" s="71"/>
      <c r="E247" s="72"/>
      <c r="F247" s="73" t="str">
        <f t="shared" si="10"/>
        <v/>
      </c>
      <c r="G247" s="71"/>
      <c r="H247" s="72"/>
      <c r="I247" s="73" t="str">
        <f t="shared" si="11"/>
        <v/>
      </c>
    </row>
    <row r="248" spans="1:9" s="73" customFormat="1" ht="17">
      <c r="A248" s="71"/>
      <c r="B248" s="72"/>
      <c r="C248" s="73" t="str">
        <f t="shared" si="9"/>
        <v/>
      </c>
      <c r="D248" s="71"/>
      <c r="E248" s="72"/>
      <c r="F248" s="73" t="str">
        <f t="shared" si="10"/>
        <v/>
      </c>
      <c r="G248" s="71"/>
      <c r="H248" s="72"/>
      <c r="I248" s="73" t="str">
        <f t="shared" si="11"/>
        <v/>
      </c>
    </row>
    <row r="249" spans="1:9" s="73" customFormat="1" ht="17">
      <c r="A249" s="71"/>
      <c r="B249" s="72"/>
      <c r="C249" s="73" t="str">
        <f t="shared" si="9"/>
        <v/>
      </c>
      <c r="D249" s="71"/>
      <c r="E249" s="72"/>
      <c r="F249" s="73" t="str">
        <f t="shared" si="10"/>
        <v/>
      </c>
      <c r="G249" s="71"/>
      <c r="H249" s="72"/>
      <c r="I249" s="73" t="str">
        <f t="shared" si="11"/>
        <v/>
      </c>
    </row>
    <row r="250" spans="1:9" s="73" customFormat="1" ht="17">
      <c r="A250" s="71"/>
      <c r="B250" s="72"/>
      <c r="C250" s="73" t="str">
        <f t="shared" si="9"/>
        <v/>
      </c>
      <c r="D250" s="71"/>
      <c r="E250" s="72"/>
      <c r="F250" s="73" t="str">
        <f t="shared" si="10"/>
        <v/>
      </c>
      <c r="G250" s="71"/>
      <c r="H250" s="72"/>
      <c r="I250" s="73" t="str">
        <f t="shared" si="11"/>
        <v/>
      </c>
    </row>
    <row r="251" spans="1:9" s="73" customFormat="1" ht="17">
      <c r="A251" s="71"/>
      <c r="B251" s="72"/>
      <c r="C251" s="73" t="str">
        <f t="shared" si="9"/>
        <v/>
      </c>
      <c r="D251" s="71"/>
      <c r="E251" s="72"/>
      <c r="F251" s="73" t="str">
        <f t="shared" si="10"/>
        <v/>
      </c>
      <c r="G251" s="71"/>
      <c r="H251" s="72"/>
      <c r="I251" s="73" t="str">
        <f t="shared" si="11"/>
        <v/>
      </c>
    </row>
    <row r="252" spans="1:9" s="73" customFormat="1" ht="17">
      <c r="A252" s="71"/>
      <c r="B252" s="72"/>
      <c r="C252" s="73" t="str">
        <f t="shared" si="9"/>
        <v/>
      </c>
      <c r="D252" s="71"/>
      <c r="E252" s="72"/>
      <c r="F252" s="73" t="str">
        <f t="shared" si="10"/>
        <v/>
      </c>
      <c r="G252" s="71"/>
      <c r="H252" s="72"/>
      <c r="I252" s="73" t="str">
        <f t="shared" si="11"/>
        <v/>
      </c>
    </row>
    <row r="253" spans="1:9" s="73" customFormat="1" ht="17">
      <c r="A253" s="71"/>
      <c r="B253" s="72"/>
      <c r="C253" s="73" t="str">
        <f t="shared" si="9"/>
        <v/>
      </c>
      <c r="D253" s="71"/>
      <c r="E253" s="72"/>
      <c r="F253" s="73" t="str">
        <f t="shared" si="10"/>
        <v/>
      </c>
      <c r="G253" s="71"/>
      <c r="H253" s="72"/>
      <c r="I253" s="73" t="str">
        <f t="shared" si="11"/>
        <v/>
      </c>
    </row>
    <row r="254" spans="1:9" s="73" customFormat="1" ht="17">
      <c r="A254" s="71"/>
      <c r="B254" s="72"/>
      <c r="C254" s="73" t="str">
        <f t="shared" si="9"/>
        <v/>
      </c>
      <c r="D254" s="71"/>
      <c r="E254" s="72"/>
      <c r="F254" s="73" t="str">
        <f t="shared" si="10"/>
        <v/>
      </c>
      <c r="G254" s="71"/>
      <c r="H254" s="72"/>
      <c r="I254" s="73" t="str">
        <f t="shared" si="11"/>
        <v/>
      </c>
    </row>
    <row r="255" spans="1:9" s="73" customFormat="1" ht="17">
      <c r="A255" s="71"/>
      <c r="B255" s="72"/>
      <c r="C255" s="73" t="str">
        <f t="shared" si="9"/>
        <v/>
      </c>
      <c r="D255" s="71"/>
      <c r="E255" s="72"/>
      <c r="F255" s="73" t="str">
        <f t="shared" si="10"/>
        <v/>
      </c>
      <c r="G255" s="71"/>
      <c r="H255" s="72"/>
      <c r="I255" s="73" t="str">
        <f t="shared" si="11"/>
        <v/>
      </c>
    </row>
    <row r="256" spans="1:9" s="73" customFormat="1" ht="17">
      <c r="A256" s="71"/>
      <c r="B256" s="72"/>
      <c r="C256" s="73" t="str">
        <f t="shared" si="9"/>
        <v/>
      </c>
      <c r="D256" s="71"/>
      <c r="E256" s="72"/>
      <c r="F256" s="73" t="str">
        <f t="shared" si="10"/>
        <v/>
      </c>
      <c r="G256" s="71"/>
      <c r="H256" s="72"/>
      <c r="I256" s="73" t="str">
        <f t="shared" si="11"/>
        <v/>
      </c>
    </row>
    <row r="257" spans="1:9" s="73" customFormat="1" ht="17">
      <c r="A257" s="71"/>
      <c r="B257" s="72"/>
      <c r="C257" s="73" t="str">
        <f t="shared" si="9"/>
        <v/>
      </c>
      <c r="D257" s="71"/>
      <c r="E257" s="72"/>
      <c r="F257" s="73" t="str">
        <f t="shared" si="10"/>
        <v/>
      </c>
      <c r="G257" s="71"/>
      <c r="H257" s="72"/>
      <c r="I257" s="73" t="str">
        <f t="shared" si="11"/>
        <v/>
      </c>
    </row>
    <row r="258" spans="1:9" s="73" customFormat="1" ht="17">
      <c r="A258" s="71"/>
      <c r="B258" s="72"/>
      <c r="C258" s="73" t="str">
        <f t="shared" si="9"/>
        <v/>
      </c>
      <c r="D258" s="71"/>
      <c r="E258" s="72"/>
      <c r="F258" s="73" t="str">
        <f t="shared" si="10"/>
        <v/>
      </c>
      <c r="G258" s="71"/>
      <c r="H258" s="72"/>
      <c r="I258" s="73" t="str">
        <f t="shared" si="11"/>
        <v/>
      </c>
    </row>
    <row r="259" spans="1:9" s="73" customFormat="1" ht="17">
      <c r="A259" s="71"/>
      <c r="B259" s="72"/>
      <c r="C259" s="73" t="str">
        <f t="shared" si="9"/>
        <v/>
      </c>
      <c r="D259" s="71"/>
      <c r="E259" s="72"/>
      <c r="F259" s="73" t="str">
        <f t="shared" si="10"/>
        <v/>
      </c>
      <c r="G259" s="71"/>
      <c r="H259" s="72"/>
      <c r="I259" s="73" t="str">
        <f t="shared" si="11"/>
        <v/>
      </c>
    </row>
    <row r="260" spans="1:9" s="73" customFormat="1" ht="17">
      <c r="A260" s="71"/>
      <c r="B260" s="72"/>
      <c r="C260" s="73" t="str">
        <f t="shared" si="9"/>
        <v/>
      </c>
      <c r="D260" s="71"/>
      <c r="E260" s="72"/>
      <c r="F260" s="73" t="str">
        <f t="shared" si="10"/>
        <v/>
      </c>
      <c r="G260" s="71"/>
      <c r="H260" s="72"/>
      <c r="I260" s="73" t="str">
        <f t="shared" si="11"/>
        <v/>
      </c>
    </row>
    <row r="261" spans="1:9" s="73" customFormat="1" ht="17">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7">
      <c r="A262" s="71"/>
      <c r="B262" s="72"/>
      <c r="C262" s="73" t="str">
        <f t="shared" si="12"/>
        <v/>
      </c>
      <c r="D262" s="71"/>
      <c r="E262" s="72"/>
      <c r="F262" s="73" t="str">
        <f t="shared" si="13"/>
        <v/>
      </c>
      <c r="G262" s="71"/>
      <c r="H262" s="72"/>
      <c r="I262" s="73" t="str">
        <f t="shared" si="14"/>
        <v/>
      </c>
    </row>
    <row r="263" spans="1:9" s="73" customFormat="1" ht="17">
      <c r="A263" s="71"/>
      <c r="B263" s="72"/>
      <c r="C263" s="73" t="str">
        <f t="shared" si="12"/>
        <v/>
      </c>
      <c r="D263" s="71"/>
      <c r="E263" s="72"/>
      <c r="F263" s="73" t="str">
        <f t="shared" si="13"/>
        <v/>
      </c>
      <c r="G263" s="71"/>
      <c r="H263" s="72"/>
      <c r="I263" s="73" t="str">
        <f t="shared" si="14"/>
        <v/>
      </c>
    </row>
    <row r="264" spans="1:9" s="73" customFormat="1" ht="17">
      <c r="A264" s="71"/>
      <c r="B264" s="72"/>
      <c r="C264" s="73" t="str">
        <f t="shared" si="12"/>
        <v/>
      </c>
      <c r="D264" s="71"/>
      <c r="E264" s="72"/>
      <c r="F264" s="73" t="str">
        <f t="shared" si="13"/>
        <v/>
      </c>
      <c r="G264" s="71"/>
      <c r="H264" s="72"/>
      <c r="I264" s="73" t="str">
        <f t="shared" si="14"/>
        <v/>
      </c>
    </row>
    <row r="265" spans="1:9" s="73" customFormat="1" ht="17">
      <c r="A265" s="71"/>
      <c r="B265" s="72"/>
      <c r="C265" s="73" t="str">
        <f t="shared" si="12"/>
        <v/>
      </c>
      <c r="D265" s="71"/>
      <c r="E265" s="72"/>
      <c r="F265" s="73" t="str">
        <f t="shared" si="13"/>
        <v/>
      </c>
      <c r="G265" s="71"/>
      <c r="H265" s="72"/>
      <c r="I265" s="73" t="str">
        <f t="shared" si="14"/>
        <v/>
      </c>
    </row>
    <row r="266" spans="1:9" s="73" customFormat="1" ht="17">
      <c r="A266" s="71"/>
      <c r="B266" s="72"/>
      <c r="C266" s="73" t="str">
        <f t="shared" si="12"/>
        <v/>
      </c>
      <c r="D266" s="71"/>
      <c r="E266" s="72"/>
      <c r="F266" s="73" t="str">
        <f t="shared" si="13"/>
        <v/>
      </c>
      <c r="G266" s="71"/>
      <c r="H266" s="72"/>
      <c r="I266" s="73" t="str">
        <f t="shared" si="14"/>
        <v/>
      </c>
    </row>
    <row r="267" spans="1:9" s="73" customFormat="1" ht="17">
      <c r="A267" s="71"/>
      <c r="B267" s="72"/>
      <c r="C267" s="73" t="str">
        <f t="shared" si="12"/>
        <v/>
      </c>
      <c r="D267" s="71"/>
      <c r="E267" s="72"/>
      <c r="F267" s="73" t="str">
        <f t="shared" si="13"/>
        <v/>
      </c>
      <c r="G267" s="71"/>
      <c r="H267" s="72"/>
      <c r="I267" s="73" t="str">
        <f t="shared" si="14"/>
        <v/>
      </c>
    </row>
    <row r="268" spans="1:9" s="73" customFormat="1" ht="17">
      <c r="A268" s="71"/>
      <c r="B268" s="72"/>
      <c r="C268" s="73" t="str">
        <f t="shared" si="12"/>
        <v/>
      </c>
      <c r="D268" s="71"/>
      <c r="E268" s="72"/>
      <c r="F268" s="73" t="str">
        <f t="shared" si="13"/>
        <v/>
      </c>
      <c r="G268" s="71"/>
      <c r="H268" s="72"/>
      <c r="I268" s="73" t="str">
        <f t="shared" si="14"/>
        <v/>
      </c>
    </row>
    <row r="269" spans="1:9" s="73" customFormat="1" ht="17">
      <c r="A269" s="71"/>
      <c r="B269" s="72"/>
      <c r="C269" s="73" t="str">
        <f t="shared" si="12"/>
        <v/>
      </c>
      <c r="D269" s="71"/>
      <c r="E269" s="72"/>
      <c r="F269" s="73" t="str">
        <f t="shared" si="13"/>
        <v/>
      </c>
      <c r="G269" s="71"/>
      <c r="H269" s="72"/>
      <c r="I269" s="73" t="str">
        <f t="shared" si="14"/>
        <v/>
      </c>
    </row>
    <row r="270" spans="1:9" s="73" customFormat="1" ht="17">
      <c r="A270" s="71"/>
      <c r="B270" s="72"/>
      <c r="C270" s="73" t="str">
        <f t="shared" si="12"/>
        <v/>
      </c>
      <c r="D270" s="71"/>
      <c r="E270" s="72"/>
      <c r="F270" s="73" t="str">
        <f t="shared" si="13"/>
        <v/>
      </c>
      <c r="G270" s="71"/>
      <c r="H270" s="72"/>
      <c r="I270" s="73" t="str">
        <f t="shared" si="14"/>
        <v/>
      </c>
    </row>
    <row r="271" spans="1:9" s="73" customFormat="1" ht="17">
      <c r="A271" s="71"/>
      <c r="B271" s="72"/>
      <c r="C271" s="73" t="str">
        <f t="shared" si="12"/>
        <v/>
      </c>
      <c r="D271" s="71"/>
      <c r="E271" s="72"/>
      <c r="F271" s="73" t="str">
        <f t="shared" si="13"/>
        <v/>
      </c>
      <c r="G271" s="71"/>
      <c r="H271" s="72"/>
      <c r="I271" s="73" t="str">
        <f t="shared" si="14"/>
        <v/>
      </c>
    </row>
    <row r="272" spans="1:9" s="73" customFormat="1" ht="17">
      <c r="A272" s="71"/>
      <c r="B272" s="72"/>
      <c r="C272" s="73" t="str">
        <f t="shared" si="12"/>
        <v/>
      </c>
      <c r="D272" s="71"/>
      <c r="E272" s="72"/>
      <c r="F272" s="73" t="str">
        <f t="shared" si="13"/>
        <v/>
      </c>
      <c r="G272" s="71"/>
      <c r="H272" s="72"/>
      <c r="I272" s="73" t="str">
        <f t="shared" si="14"/>
        <v/>
      </c>
    </row>
    <row r="273" spans="1:9" s="73" customFormat="1" ht="17">
      <c r="A273" s="71"/>
      <c r="B273" s="72"/>
      <c r="C273" s="73" t="str">
        <f t="shared" si="12"/>
        <v/>
      </c>
      <c r="D273" s="71"/>
      <c r="E273" s="72"/>
      <c r="F273" s="73" t="str">
        <f t="shared" si="13"/>
        <v/>
      </c>
      <c r="G273" s="71"/>
      <c r="H273" s="72"/>
      <c r="I273" s="73" t="str">
        <f t="shared" si="14"/>
        <v/>
      </c>
    </row>
    <row r="274" spans="1:9" s="73" customFormat="1" ht="17">
      <c r="A274" s="71"/>
      <c r="B274" s="72"/>
      <c r="C274" s="73" t="str">
        <f t="shared" si="12"/>
        <v/>
      </c>
      <c r="D274" s="71"/>
      <c r="E274" s="72"/>
      <c r="F274" s="73" t="str">
        <f t="shared" si="13"/>
        <v/>
      </c>
      <c r="G274" s="71"/>
      <c r="H274" s="72"/>
      <c r="I274" s="73" t="str">
        <f t="shared" si="14"/>
        <v/>
      </c>
    </row>
    <row r="275" spans="1:9" s="73" customFormat="1" ht="17">
      <c r="A275" s="71"/>
      <c r="B275" s="72"/>
      <c r="C275" s="73" t="str">
        <f t="shared" si="12"/>
        <v/>
      </c>
      <c r="D275" s="71"/>
      <c r="E275" s="72"/>
      <c r="F275" s="73" t="str">
        <f t="shared" si="13"/>
        <v/>
      </c>
      <c r="G275" s="71"/>
      <c r="H275" s="72"/>
      <c r="I275" s="73" t="str">
        <f t="shared" si="14"/>
        <v/>
      </c>
    </row>
    <row r="276" spans="1:9" s="73" customFormat="1" ht="17">
      <c r="A276" s="71"/>
      <c r="B276" s="72"/>
      <c r="C276" s="73" t="str">
        <f t="shared" si="12"/>
        <v/>
      </c>
      <c r="D276" s="71"/>
      <c r="E276" s="72"/>
      <c r="F276" s="73" t="str">
        <f t="shared" si="13"/>
        <v/>
      </c>
      <c r="G276" s="71"/>
      <c r="H276" s="72"/>
      <c r="I276" s="73" t="str">
        <f t="shared" si="14"/>
        <v/>
      </c>
    </row>
    <row r="277" spans="1:9" s="73" customFormat="1" ht="17">
      <c r="A277" s="71"/>
      <c r="B277" s="72"/>
      <c r="C277" s="73" t="str">
        <f t="shared" si="12"/>
        <v/>
      </c>
      <c r="D277" s="71"/>
      <c r="E277" s="72"/>
      <c r="F277" s="73" t="str">
        <f t="shared" si="13"/>
        <v/>
      </c>
      <c r="G277" s="71"/>
      <c r="H277" s="72"/>
      <c r="I277" s="73" t="str">
        <f t="shared" si="14"/>
        <v/>
      </c>
    </row>
    <row r="278" spans="1:9" s="73" customFormat="1" ht="17">
      <c r="A278" s="71"/>
      <c r="B278" s="72"/>
      <c r="C278" s="73" t="str">
        <f t="shared" si="12"/>
        <v/>
      </c>
      <c r="D278" s="71"/>
      <c r="E278" s="72"/>
      <c r="F278" s="73" t="str">
        <f t="shared" si="13"/>
        <v/>
      </c>
      <c r="G278" s="71"/>
      <c r="H278" s="72"/>
      <c r="I278" s="73" t="str">
        <f t="shared" si="14"/>
        <v/>
      </c>
    </row>
    <row r="279" spans="1:9" s="73" customFormat="1" ht="17">
      <c r="A279" s="71"/>
      <c r="B279" s="72"/>
      <c r="C279" s="73" t="str">
        <f t="shared" si="12"/>
        <v/>
      </c>
      <c r="D279" s="71"/>
      <c r="E279" s="72"/>
      <c r="F279" s="73" t="str">
        <f t="shared" si="13"/>
        <v/>
      </c>
      <c r="G279" s="71"/>
      <c r="H279" s="72"/>
      <c r="I279" s="73" t="str">
        <f t="shared" si="14"/>
        <v/>
      </c>
    </row>
    <row r="280" spans="1:9" s="73" customFormat="1" ht="17">
      <c r="A280" s="71"/>
      <c r="B280" s="72"/>
      <c r="C280" s="73" t="str">
        <f t="shared" si="12"/>
        <v/>
      </c>
      <c r="D280" s="71"/>
      <c r="E280" s="72"/>
      <c r="F280" s="73" t="str">
        <f t="shared" si="13"/>
        <v/>
      </c>
      <c r="G280" s="71"/>
      <c r="H280" s="72"/>
      <c r="I280" s="73" t="str">
        <f t="shared" si="14"/>
        <v/>
      </c>
    </row>
    <row r="281" spans="1:9" s="73" customFormat="1" ht="17">
      <c r="A281" s="71"/>
      <c r="B281" s="72"/>
      <c r="C281" s="73" t="str">
        <f t="shared" si="12"/>
        <v/>
      </c>
      <c r="D281" s="71"/>
      <c r="E281" s="72"/>
      <c r="F281" s="73" t="str">
        <f t="shared" si="13"/>
        <v/>
      </c>
      <c r="G281" s="71"/>
      <c r="H281" s="72"/>
      <c r="I281" s="73" t="str">
        <f t="shared" si="14"/>
        <v/>
      </c>
    </row>
    <row r="282" spans="1:9" s="73" customFormat="1" ht="17">
      <c r="A282" s="71"/>
      <c r="B282" s="72"/>
      <c r="C282" s="73" t="str">
        <f t="shared" si="12"/>
        <v/>
      </c>
      <c r="D282" s="71"/>
      <c r="E282" s="72"/>
      <c r="F282" s="73" t="str">
        <f t="shared" si="13"/>
        <v/>
      </c>
      <c r="G282" s="71"/>
      <c r="H282" s="72"/>
      <c r="I282" s="73" t="str">
        <f t="shared" si="14"/>
        <v/>
      </c>
    </row>
    <row r="283" spans="1:9" s="73" customFormat="1" ht="17">
      <c r="A283" s="71"/>
      <c r="B283" s="72"/>
      <c r="C283" s="73" t="str">
        <f t="shared" si="12"/>
        <v/>
      </c>
      <c r="D283" s="71"/>
      <c r="E283" s="72"/>
      <c r="F283" s="73" t="str">
        <f t="shared" si="13"/>
        <v/>
      </c>
      <c r="G283" s="71"/>
      <c r="H283" s="72"/>
      <c r="I283" s="73" t="str">
        <f t="shared" si="14"/>
        <v/>
      </c>
    </row>
    <row r="284" spans="1:9" s="73" customFormat="1" ht="17">
      <c r="A284" s="71"/>
      <c r="B284" s="72"/>
      <c r="C284" s="73" t="str">
        <f t="shared" si="12"/>
        <v/>
      </c>
      <c r="D284" s="71"/>
      <c r="E284" s="72"/>
      <c r="F284" s="73" t="str">
        <f t="shared" si="13"/>
        <v/>
      </c>
      <c r="G284" s="71"/>
      <c r="H284" s="72"/>
      <c r="I284" s="73" t="str">
        <f t="shared" si="14"/>
        <v/>
      </c>
    </row>
    <row r="285" spans="1:9" s="73" customFormat="1" ht="17">
      <c r="A285" s="71"/>
      <c r="B285" s="72"/>
      <c r="C285" s="73" t="str">
        <f t="shared" si="12"/>
        <v/>
      </c>
      <c r="D285" s="71"/>
      <c r="E285" s="72"/>
      <c r="F285" s="73" t="str">
        <f t="shared" si="13"/>
        <v/>
      </c>
      <c r="G285" s="71"/>
      <c r="H285" s="72"/>
      <c r="I285" s="73" t="str">
        <f t="shared" si="14"/>
        <v/>
      </c>
    </row>
    <row r="286" spans="1:9" s="73" customFormat="1" ht="17">
      <c r="A286" s="71"/>
      <c r="B286" s="72"/>
      <c r="C286" s="73" t="str">
        <f t="shared" si="12"/>
        <v/>
      </c>
      <c r="D286" s="71"/>
      <c r="E286" s="72"/>
      <c r="F286" s="73" t="str">
        <f t="shared" si="13"/>
        <v/>
      </c>
      <c r="G286" s="71"/>
      <c r="H286" s="72"/>
      <c r="I286" s="73" t="str">
        <f t="shared" si="14"/>
        <v/>
      </c>
    </row>
    <row r="287" spans="1:9" s="73" customFormat="1" ht="17">
      <c r="A287" s="71"/>
      <c r="B287" s="72"/>
      <c r="C287" s="73" t="str">
        <f t="shared" si="12"/>
        <v/>
      </c>
      <c r="D287" s="71"/>
      <c r="E287" s="72"/>
      <c r="F287" s="73" t="str">
        <f t="shared" si="13"/>
        <v/>
      </c>
      <c r="G287" s="71"/>
      <c r="H287" s="72"/>
      <c r="I287" s="73" t="str">
        <f t="shared" si="14"/>
        <v/>
      </c>
    </row>
    <row r="288" spans="1:9" s="73" customFormat="1" ht="17">
      <c r="A288" s="71"/>
      <c r="B288" s="72"/>
      <c r="C288" s="73" t="str">
        <f t="shared" si="12"/>
        <v/>
      </c>
      <c r="D288" s="71"/>
      <c r="E288" s="72"/>
      <c r="F288" s="73" t="str">
        <f t="shared" si="13"/>
        <v/>
      </c>
      <c r="G288" s="71"/>
      <c r="H288" s="72"/>
      <c r="I288" s="73" t="str">
        <f t="shared" si="14"/>
        <v/>
      </c>
    </row>
    <row r="289" spans="1:9" s="73" customFormat="1" ht="17">
      <c r="A289" s="71"/>
      <c r="B289" s="72"/>
      <c r="C289" s="73" t="str">
        <f t="shared" si="12"/>
        <v/>
      </c>
      <c r="D289" s="71"/>
      <c r="E289" s="72"/>
      <c r="F289" s="73" t="str">
        <f t="shared" si="13"/>
        <v/>
      </c>
      <c r="G289" s="71"/>
      <c r="H289" s="72"/>
      <c r="I289" s="73" t="str">
        <f t="shared" si="14"/>
        <v/>
      </c>
    </row>
    <row r="290" spans="1:9" s="73" customFormat="1" ht="17">
      <c r="A290" s="71"/>
      <c r="B290" s="72"/>
      <c r="C290" s="73" t="str">
        <f t="shared" si="12"/>
        <v/>
      </c>
      <c r="D290" s="71"/>
      <c r="E290" s="72"/>
      <c r="F290" s="73" t="str">
        <f t="shared" si="13"/>
        <v/>
      </c>
      <c r="G290" s="71"/>
      <c r="H290" s="72"/>
      <c r="I290" s="73" t="str">
        <f t="shared" si="14"/>
        <v/>
      </c>
    </row>
    <row r="291" spans="1:9" s="73" customFormat="1" ht="17">
      <c r="A291" s="71"/>
      <c r="B291" s="72"/>
      <c r="C291" s="73" t="str">
        <f t="shared" si="12"/>
        <v/>
      </c>
      <c r="D291" s="71"/>
      <c r="E291" s="72"/>
      <c r="F291" s="73" t="str">
        <f t="shared" si="13"/>
        <v/>
      </c>
      <c r="G291" s="71"/>
      <c r="H291" s="72"/>
      <c r="I291" s="73" t="str">
        <f t="shared" si="14"/>
        <v/>
      </c>
    </row>
    <row r="292" spans="1:9" s="73" customFormat="1" ht="17">
      <c r="A292" s="71"/>
      <c r="B292" s="72"/>
      <c r="C292" s="73" t="str">
        <f t="shared" si="12"/>
        <v/>
      </c>
      <c r="D292" s="71"/>
      <c r="E292" s="72"/>
      <c r="F292" s="73" t="str">
        <f t="shared" si="13"/>
        <v/>
      </c>
      <c r="G292" s="71"/>
      <c r="H292" s="72"/>
      <c r="I292" s="73" t="str">
        <f t="shared" si="14"/>
        <v/>
      </c>
    </row>
    <row r="293" spans="1:9" s="73" customFormat="1" ht="17">
      <c r="A293" s="71"/>
      <c r="B293" s="72"/>
      <c r="C293" s="73" t="str">
        <f t="shared" si="12"/>
        <v/>
      </c>
      <c r="D293" s="71"/>
      <c r="E293" s="72"/>
      <c r="F293" s="73" t="str">
        <f t="shared" si="13"/>
        <v/>
      </c>
      <c r="G293" s="71"/>
      <c r="H293" s="72"/>
      <c r="I293" s="73" t="str">
        <f t="shared" si="14"/>
        <v/>
      </c>
    </row>
    <row r="294" spans="1:9" s="73" customFormat="1" ht="17">
      <c r="A294" s="71"/>
      <c r="B294" s="72"/>
      <c r="C294" s="73" t="str">
        <f t="shared" si="12"/>
        <v/>
      </c>
      <c r="D294" s="71"/>
      <c r="E294" s="72"/>
      <c r="F294" s="73" t="str">
        <f t="shared" si="13"/>
        <v/>
      </c>
      <c r="G294" s="71"/>
      <c r="H294" s="72"/>
      <c r="I294" s="73" t="str">
        <f t="shared" si="14"/>
        <v/>
      </c>
    </row>
    <row r="295" spans="1:9" s="73" customFormat="1" ht="17">
      <c r="A295" s="71"/>
      <c r="B295" s="72"/>
      <c r="C295" s="73" t="str">
        <f t="shared" si="12"/>
        <v/>
      </c>
      <c r="D295" s="71"/>
      <c r="E295" s="72"/>
      <c r="F295" s="73" t="str">
        <f t="shared" si="13"/>
        <v/>
      </c>
      <c r="G295" s="71"/>
      <c r="H295" s="72"/>
      <c r="I295" s="73" t="str">
        <f t="shared" si="14"/>
        <v/>
      </c>
    </row>
    <row r="296" spans="1:9" s="73" customFormat="1" ht="17">
      <c r="A296" s="71"/>
      <c r="B296" s="72"/>
      <c r="C296" s="73" t="str">
        <f t="shared" si="12"/>
        <v/>
      </c>
      <c r="D296" s="71"/>
      <c r="E296" s="72"/>
      <c r="F296" s="73" t="str">
        <f t="shared" si="13"/>
        <v/>
      </c>
      <c r="G296" s="71"/>
      <c r="H296" s="72"/>
      <c r="I296" s="73" t="str">
        <f t="shared" si="14"/>
        <v/>
      </c>
    </row>
    <row r="297" spans="1:9" s="73" customFormat="1" ht="17">
      <c r="A297" s="71"/>
      <c r="B297" s="72"/>
      <c r="C297" s="73" t="str">
        <f t="shared" si="12"/>
        <v/>
      </c>
      <c r="D297" s="71"/>
      <c r="E297" s="72"/>
      <c r="F297" s="73" t="str">
        <f t="shared" si="13"/>
        <v/>
      </c>
      <c r="G297" s="71"/>
      <c r="H297" s="72"/>
      <c r="I297" s="73" t="str">
        <f t="shared" si="14"/>
        <v/>
      </c>
    </row>
    <row r="298" spans="1:9" s="73" customFormat="1" ht="17">
      <c r="A298" s="71"/>
      <c r="B298" s="72"/>
      <c r="C298" s="73" t="str">
        <f t="shared" si="12"/>
        <v/>
      </c>
      <c r="D298" s="71"/>
      <c r="E298" s="72"/>
      <c r="F298" s="73" t="str">
        <f t="shared" si="13"/>
        <v/>
      </c>
      <c r="G298" s="71"/>
      <c r="H298" s="72"/>
      <c r="I298" s="73" t="str">
        <f t="shared" si="14"/>
        <v/>
      </c>
    </row>
    <row r="299" spans="1:9" s="73" customFormat="1" ht="17">
      <c r="A299" s="71"/>
      <c r="B299" s="72"/>
      <c r="C299" s="73" t="str">
        <f t="shared" si="12"/>
        <v/>
      </c>
      <c r="D299" s="71"/>
      <c r="E299" s="72"/>
      <c r="F299" s="73" t="str">
        <f t="shared" si="13"/>
        <v/>
      </c>
      <c r="G299" s="71"/>
      <c r="H299" s="72"/>
      <c r="I299" s="73" t="str">
        <f t="shared" si="14"/>
        <v/>
      </c>
    </row>
    <row r="300" spans="1:9" s="73" customFormat="1" ht="17">
      <c r="A300" s="71"/>
      <c r="B300" s="72"/>
      <c r="C300" s="73" t="str">
        <f t="shared" si="12"/>
        <v/>
      </c>
      <c r="D300" s="71"/>
      <c r="E300" s="72"/>
      <c r="F300" s="73" t="str">
        <f t="shared" si="13"/>
        <v/>
      </c>
      <c r="G300" s="71"/>
      <c r="H300" s="72"/>
      <c r="I300" s="73" t="str">
        <f t="shared" si="14"/>
        <v/>
      </c>
    </row>
    <row r="301" spans="1:9" s="73" customFormat="1" ht="17">
      <c r="A301" s="71"/>
      <c r="B301" s="72"/>
      <c r="C301" s="73" t="str">
        <f t="shared" si="12"/>
        <v/>
      </c>
      <c r="D301" s="71"/>
      <c r="E301" s="72"/>
      <c r="F301" s="73" t="str">
        <f t="shared" si="13"/>
        <v/>
      </c>
      <c r="G301" s="71"/>
      <c r="H301" s="72"/>
      <c r="I301" s="73" t="str">
        <f t="shared" si="14"/>
        <v/>
      </c>
    </row>
    <row r="302" spans="1:9" s="73" customFormat="1" ht="17">
      <c r="A302" s="71"/>
      <c r="B302" s="75"/>
      <c r="C302" s="73" t="str">
        <f t="shared" si="12"/>
        <v/>
      </c>
      <c r="D302" s="71"/>
      <c r="E302" s="75"/>
      <c r="F302" s="73" t="str">
        <f t="shared" si="13"/>
        <v/>
      </c>
      <c r="G302" s="71"/>
      <c r="H302" s="75"/>
      <c r="I302" s="73" t="str">
        <f t="shared" si="14"/>
        <v/>
      </c>
    </row>
    <row r="303" spans="1:9" s="73" customFormat="1" ht="17">
      <c r="A303" s="71"/>
      <c r="B303" s="75"/>
      <c r="C303" s="73" t="str">
        <f t="shared" si="12"/>
        <v/>
      </c>
      <c r="D303" s="71"/>
      <c r="E303" s="75"/>
      <c r="F303" s="73" t="str">
        <f t="shared" si="13"/>
        <v/>
      </c>
      <c r="G303" s="71"/>
      <c r="H303" s="75"/>
      <c r="I303" s="73" t="str">
        <f t="shared" si="14"/>
        <v/>
      </c>
    </row>
    <row r="304" spans="1:9" s="73" customFormat="1" ht="17">
      <c r="A304" s="71"/>
      <c r="B304" s="75"/>
      <c r="C304" s="73" t="str">
        <f t="shared" si="12"/>
        <v/>
      </c>
      <c r="D304" s="71"/>
      <c r="E304" s="75"/>
      <c r="F304" s="73" t="str">
        <f t="shared" si="13"/>
        <v/>
      </c>
      <c r="G304" s="71"/>
      <c r="H304" s="75"/>
      <c r="I304" s="73" t="str">
        <f t="shared" si="14"/>
        <v/>
      </c>
    </row>
    <row r="305" spans="1:7" s="73" customFormat="1" ht="17">
      <c r="A305" s="73" t="s">
        <v>1587</v>
      </c>
      <c r="D305" s="73" t="s">
        <v>1587</v>
      </c>
      <c r="G305" s="73" t="s">
        <v>1587</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628"/>
  <sheetViews>
    <sheetView zoomScaleNormal="100" workbookViewId="0">
      <pane ySplit="1" topLeftCell="A592" activePane="bottomLeft" state="frozen"/>
      <selection pane="bottomLeft" activeCell="C625" sqref="C625"/>
    </sheetView>
  </sheetViews>
  <sheetFormatPr defaultColWidth="73.33203125" defaultRowHeight="12"/>
  <cols>
    <col min="1" max="1" width="7.58203125" style="126" bestFit="1" customWidth="1"/>
    <col min="2" max="2" width="8.33203125" style="127" bestFit="1" customWidth="1"/>
    <col min="3" max="3" width="23.08203125" style="128" bestFit="1" customWidth="1"/>
    <col min="4" max="4" width="47.08203125" style="129" customWidth="1"/>
    <col min="5" max="5" width="56.08203125" style="129" customWidth="1"/>
    <col min="6" max="6" width="57.33203125" style="126" customWidth="1"/>
    <col min="7" max="26" width="73.33203125" style="126"/>
    <col min="27" max="27" width="73.33203125" style="126" hidden="1" customWidth="1"/>
    <col min="28" max="29" width="73.33203125" style="126"/>
    <col min="30" max="30" width="0" style="126" hidden="1" customWidth="1"/>
    <col min="31" max="16384" width="73.33203125" style="126"/>
  </cols>
  <sheetData>
    <row r="1" spans="1:6" s="124" customFormat="1">
      <c r="A1" s="124" t="s">
        <v>408</v>
      </c>
      <c r="B1" s="124" t="s">
        <v>409</v>
      </c>
      <c r="C1" s="125" t="s">
        <v>410</v>
      </c>
      <c r="D1" s="125" t="s">
        <v>18</v>
      </c>
      <c r="E1" s="125" t="s">
        <v>19</v>
      </c>
      <c r="F1" s="124" t="s">
        <v>575</v>
      </c>
    </row>
    <row r="2" spans="1:6" ht="72">
      <c r="A2" s="207" t="s">
        <v>568</v>
      </c>
      <c r="B2" s="127">
        <v>1</v>
      </c>
      <c r="C2" s="128" t="s">
        <v>473</v>
      </c>
      <c r="D2" s="129" t="s">
        <v>411</v>
      </c>
      <c r="E2" s="129" t="s">
        <v>742</v>
      </c>
      <c r="F2" s="129" t="s">
        <v>742</v>
      </c>
    </row>
    <row r="3" spans="1:6" ht="87">
      <c r="A3" s="208">
        <v>650</v>
      </c>
      <c r="B3" s="127">
        <v>2</v>
      </c>
      <c r="C3" s="128" t="s">
        <v>473</v>
      </c>
      <c r="D3" s="129" t="s">
        <v>404</v>
      </c>
      <c r="E3" s="129" t="s">
        <v>743</v>
      </c>
      <c r="F3" s="129" t="s">
        <v>743</v>
      </c>
    </row>
    <row r="4" spans="1:6" ht="60">
      <c r="B4" s="127">
        <v>3</v>
      </c>
      <c r="C4" s="128" t="s">
        <v>473</v>
      </c>
      <c r="D4" s="129" t="s">
        <v>412</v>
      </c>
      <c r="E4" s="129" t="s">
        <v>744</v>
      </c>
      <c r="F4" s="129" t="s">
        <v>744</v>
      </c>
    </row>
    <row r="5" spans="1:6" ht="58">
      <c r="B5" s="127">
        <v>4</v>
      </c>
      <c r="C5" s="128" t="s">
        <v>473</v>
      </c>
      <c r="D5" s="129" t="s">
        <v>413</v>
      </c>
      <c r="E5" s="129" t="s">
        <v>745</v>
      </c>
      <c r="F5" s="129" t="s">
        <v>745</v>
      </c>
    </row>
    <row r="6" spans="1:6" ht="72.5">
      <c r="B6" s="127">
        <v>5</v>
      </c>
      <c r="C6" s="128" t="s">
        <v>473</v>
      </c>
      <c r="D6" s="129" t="s">
        <v>414</v>
      </c>
      <c r="E6" s="129" t="s">
        <v>746</v>
      </c>
      <c r="F6" s="129" t="s">
        <v>746</v>
      </c>
    </row>
    <row r="7" spans="1:6" ht="48">
      <c r="B7" s="127">
        <v>6</v>
      </c>
      <c r="C7" s="128" t="s">
        <v>473</v>
      </c>
      <c r="D7" s="129" t="s">
        <v>415</v>
      </c>
      <c r="E7" s="129" t="s">
        <v>747</v>
      </c>
      <c r="F7" s="129" t="s">
        <v>747</v>
      </c>
    </row>
    <row r="8" spans="1:6" ht="14.5">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48">
      <c r="B11" s="127">
        <v>10</v>
      </c>
      <c r="C11" s="128" t="s">
        <v>542</v>
      </c>
      <c r="D11" s="129" t="s">
        <v>540</v>
      </c>
      <c r="E11" s="129" t="s">
        <v>750</v>
      </c>
      <c r="F11" s="129" t="s">
        <v>750</v>
      </c>
    </row>
    <row r="12" spans="1:6" ht="58">
      <c r="B12" s="127">
        <v>11</v>
      </c>
      <c r="C12" s="128" t="s">
        <v>542</v>
      </c>
      <c r="D12" s="129" t="s">
        <v>534</v>
      </c>
      <c r="E12" s="129" t="s">
        <v>751</v>
      </c>
      <c r="F12" s="129" t="s">
        <v>751</v>
      </c>
    </row>
    <row r="13" spans="1:6" ht="72.5">
      <c r="B13" s="127">
        <v>12</v>
      </c>
      <c r="C13" s="128" t="s">
        <v>542</v>
      </c>
      <c r="D13" s="129" t="s">
        <v>535</v>
      </c>
      <c r="E13" s="129" t="s">
        <v>752</v>
      </c>
      <c r="F13" s="129" t="s">
        <v>752</v>
      </c>
    </row>
    <row r="14" spans="1:6" ht="48">
      <c r="B14" s="127">
        <v>13</v>
      </c>
      <c r="C14" s="128" t="s">
        <v>473</v>
      </c>
      <c r="D14" s="129" t="s">
        <v>695</v>
      </c>
      <c r="E14" s="129" t="s">
        <v>753</v>
      </c>
      <c r="F14" s="129" t="s">
        <v>753</v>
      </c>
    </row>
    <row r="15" spans="1:6" ht="43.5">
      <c r="B15" s="127">
        <v>14</v>
      </c>
      <c r="C15" s="128" t="s">
        <v>473</v>
      </c>
      <c r="D15" s="129" t="s">
        <v>696</v>
      </c>
      <c r="E15" s="129" t="s">
        <v>754</v>
      </c>
      <c r="F15" s="129" t="s">
        <v>754</v>
      </c>
    </row>
    <row r="16" spans="1:6" ht="14.5">
      <c r="B16" s="127">
        <v>15</v>
      </c>
      <c r="C16" s="128" t="s">
        <v>473</v>
      </c>
      <c r="D16" s="129" t="s">
        <v>697</v>
      </c>
      <c r="E16" s="129" t="s">
        <v>755</v>
      </c>
      <c r="F16" s="129" t="s">
        <v>755</v>
      </c>
    </row>
    <row r="17" spans="1:6" ht="14.5">
      <c r="B17" s="127">
        <v>101</v>
      </c>
      <c r="D17" s="129" t="s">
        <v>20</v>
      </c>
      <c r="E17" s="129" t="s">
        <v>756</v>
      </c>
      <c r="F17" s="129" t="s">
        <v>756</v>
      </c>
    </row>
    <row r="18" spans="1:6" ht="14.5">
      <c r="B18" s="127">
        <v>102</v>
      </c>
      <c r="D18" s="129" t="s">
        <v>21</v>
      </c>
      <c r="E18" s="129" t="s">
        <v>757</v>
      </c>
      <c r="F18" s="129" t="s">
        <v>757</v>
      </c>
    </row>
    <row r="19" spans="1:6" ht="14.5">
      <c r="B19" s="127">
        <v>103</v>
      </c>
      <c r="D19" s="129" t="s">
        <v>22</v>
      </c>
      <c r="E19" s="129" t="s">
        <v>758</v>
      </c>
      <c r="F19" s="129" t="s">
        <v>758</v>
      </c>
    </row>
    <row r="20" spans="1:6" ht="14.5">
      <c r="B20" s="127">
        <v>104</v>
      </c>
      <c r="D20" s="129" t="s">
        <v>23</v>
      </c>
      <c r="E20" s="129" t="s">
        <v>759</v>
      </c>
      <c r="F20" s="129" t="s">
        <v>759</v>
      </c>
    </row>
    <row r="21" spans="1:6" ht="14.5">
      <c r="B21" s="127">
        <v>105</v>
      </c>
      <c r="D21" s="129" t="s">
        <v>24</v>
      </c>
      <c r="E21" s="129" t="s">
        <v>760</v>
      </c>
      <c r="F21" s="129" t="s">
        <v>760</v>
      </c>
    </row>
    <row r="22" spans="1:6">
      <c r="B22" s="127">
        <v>106</v>
      </c>
      <c r="D22" s="129" t="s">
        <v>328</v>
      </c>
      <c r="E22" s="129" t="s">
        <v>1321</v>
      </c>
      <c r="F22" s="129" t="s">
        <v>1321</v>
      </c>
    </row>
    <row r="23" spans="1:6" ht="43.5">
      <c r="B23" s="127">
        <v>107</v>
      </c>
      <c r="D23" s="129" t="s">
        <v>329</v>
      </c>
      <c r="E23" s="129" t="s">
        <v>761</v>
      </c>
      <c r="F23" s="129" t="s">
        <v>761</v>
      </c>
    </row>
    <row r="24" spans="1:6" ht="43.5">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ht="14.5">
      <c r="B27" s="127">
        <v>111</v>
      </c>
      <c r="D27" s="129" t="s">
        <v>27</v>
      </c>
      <c r="E27" s="129" t="s">
        <v>763</v>
      </c>
      <c r="F27" s="129" t="s">
        <v>763</v>
      </c>
    </row>
    <row r="28" spans="1:6" ht="14.5">
      <c r="A28" s="131"/>
      <c r="B28" s="127">
        <v>112</v>
      </c>
      <c r="C28" s="132" t="s">
        <v>399</v>
      </c>
      <c r="D28" s="130" t="s">
        <v>416</v>
      </c>
      <c r="E28" s="130" t="s">
        <v>764</v>
      </c>
      <c r="F28" s="130" t="s">
        <v>764</v>
      </c>
    </row>
    <row r="29" spans="1:6" ht="14.5">
      <c r="B29" s="127">
        <v>113</v>
      </c>
      <c r="D29" s="129" t="s">
        <v>28</v>
      </c>
      <c r="E29" s="129" t="s">
        <v>764</v>
      </c>
      <c r="F29" s="129" t="s">
        <v>764</v>
      </c>
    </row>
    <row r="30" spans="1:6" ht="14.5">
      <c r="B30" s="127">
        <v>114</v>
      </c>
      <c r="C30" s="128" t="s">
        <v>500</v>
      </c>
      <c r="D30" s="129" t="s">
        <v>505</v>
      </c>
      <c r="E30" s="129" t="s">
        <v>765</v>
      </c>
      <c r="F30" s="129" t="s">
        <v>765</v>
      </c>
    </row>
    <row r="31" spans="1:6" ht="14.5">
      <c r="B31" s="127">
        <v>115</v>
      </c>
      <c r="D31" s="129" t="s">
        <v>557</v>
      </c>
      <c r="E31" s="129" t="s">
        <v>766</v>
      </c>
      <c r="F31" s="129" t="s">
        <v>766</v>
      </c>
    </row>
    <row r="32" spans="1:6" ht="14.5">
      <c r="B32" s="127">
        <v>116</v>
      </c>
      <c r="D32" s="129" t="s">
        <v>29</v>
      </c>
      <c r="E32" s="129" t="s">
        <v>767</v>
      </c>
      <c r="F32" s="129" t="s">
        <v>767</v>
      </c>
    </row>
    <row r="33" spans="2:6" ht="14.5">
      <c r="B33" s="127">
        <v>117</v>
      </c>
      <c r="D33" s="129" t="s">
        <v>30</v>
      </c>
      <c r="E33" s="129" t="s">
        <v>768</v>
      </c>
      <c r="F33" s="129" t="s">
        <v>768</v>
      </c>
    </row>
    <row r="34" spans="2:6" ht="29">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ht="14.5">
      <c r="B38" s="127">
        <v>122</v>
      </c>
      <c r="D38" s="129" t="s">
        <v>32</v>
      </c>
      <c r="E38" s="129" t="s">
        <v>770</v>
      </c>
      <c r="F38" s="129" t="s">
        <v>770</v>
      </c>
    </row>
    <row r="39" spans="2:6" ht="14.5">
      <c r="B39" s="127">
        <v>123</v>
      </c>
      <c r="D39" s="129" t="s">
        <v>326</v>
      </c>
      <c r="E39" s="129" t="s">
        <v>771</v>
      </c>
      <c r="F39" s="129" t="s">
        <v>771</v>
      </c>
    </row>
    <row r="40" spans="2:6">
      <c r="B40" s="127">
        <v>124</v>
      </c>
      <c r="D40" s="129" t="s">
        <v>33</v>
      </c>
      <c r="E40" s="129" t="s">
        <v>1324</v>
      </c>
      <c r="F40" s="129" t="s">
        <v>1324</v>
      </c>
    </row>
    <row r="41" spans="2:6">
      <c r="B41" s="127">
        <v>125</v>
      </c>
      <c r="D41" s="129" t="s">
        <v>488</v>
      </c>
      <c r="E41" s="129" t="s">
        <v>1325</v>
      </c>
      <c r="F41" s="129" t="s">
        <v>1325</v>
      </c>
    </row>
    <row r="42" spans="2:6">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ht="14.5">
      <c r="B46" s="127">
        <v>130</v>
      </c>
      <c r="D46" s="129" t="s">
        <v>36</v>
      </c>
      <c r="E46" s="129" t="s">
        <v>774</v>
      </c>
      <c r="F46" s="129" t="s">
        <v>774</v>
      </c>
    </row>
    <row r="47" spans="2:6" ht="14.5">
      <c r="B47" s="127">
        <v>131</v>
      </c>
      <c r="D47" s="129" t="s">
        <v>332</v>
      </c>
      <c r="E47" s="129" t="s">
        <v>775</v>
      </c>
      <c r="F47" s="129" t="s">
        <v>775</v>
      </c>
    </row>
    <row r="48" spans="2:6" ht="14.5">
      <c r="B48" s="127">
        <v>132</v>
      </c>
      <c r="D48" s="129" t="s">
        <v>37</v>
      </c>
      <c r="E48" s="129" t="s">
        <v>776</v>
      </c>
      <c r="F48" s="129" t="s">
        <v>776</v>
      </c>
    </row>
    <row r="49" spans="2:6" ht="14.5">
      <c r="B49" s="127">
        <v>133</v>
      </c>
      <c r="D49" s="129" t="s">
        <v>583</v>
      </c>
      <c r="E49" s="129" t="s">
        <v>777</v>
      </c>
      <c r="F49" s="129" t="s">
        <v>777</v>
      </c>
    </row>
    <row r="50" spans="2:6" ht="14.5">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ht="14.5">
      <c r="B54" s="127">
        <v>138</v>
      </c>
      <c r="D54" s="129" t="s">
        <v>39</v>
      </c>
      <c r="E54" s="129" t="s">
        <v>779</v>
      </c>
      <c r="F54" s="129" t="s">
        <v>779</v>
      </c>
    </row>
    <row r="55" spans="2:6" ht="14.5">
      <c r="B55" s="127">
        <v>139</v>
      </c>
      <c r="C55" s="128" t="s">
        <v>417</v>
      </c>
      <c r="D55" s="129" t="s">
        <v>418</v>
      </c>
      <c r="E55" s="129" t="s">
        <v>780</v>
      </c>
      <c r="F55" s="129" t="s">
        <v>780</v>
      </c>
    </row>
    <row r="56" spans="2:6" ht="24">
      <c r="B56" s="127">
        <v>140</v>
      </c>
      <c r="D56" s="129" t="s">
        <v>40</v>
      </c>
      <c r="E56" s="129" t="s">
        <v>1327</v>
      </c>
      <c r="F56" s="129" t="s">
        <v>1327</v>
      </c>
    </row>
    <row r="57" spans="2:6" ht="14.5">
      <c r="B57" s="127">
        <v>141</v>
      </c>
      <c r="D57" s="129" t="s">
        <v>41</v>
      </c>
      <c r="E57" s="145" t="s">
        <v>1375</v>
      </c>
      <c r="F57" s="145" t="s">
        <v>1375</v>
      </c>
    </row>
    <row r="58" spans="2:6" ht="14.5">
      <c r="B58" s="127">
        <v>142</v>
      </c>
      <c r="D58" s="129" t="s">
        <v>475</v>
      </c>
      <c r="E58" s="129" t="s">
        <v>781</v>
      </c>
      <c r="F58" s="129" t="s">
        <v>781</v>
      </c>
    </row>
    <row r="59" spans="2:6" ht="14.5">
      <c r="B59" s="127">
        <v>143</v>
      </c>
      <c r="C59" s="128" t="s">
        <v>451</v>
      </c>
      <c r="D59" s="126" t="s">
        <v>334</v>
      </c>
      <c r="E59" s="134" t="s">
        <v>782</v>
      </c>
      <c r="F59" s="134" t="s">
        <v>782</v>
      </c>
    </row>
    <row r="60" spans="2:6" ht="14.5">
      <c r="B60" s="127">
        <v>144</v>
      </c>
      <c r="D60" s="129" t="s">
        <v>42</v>
      </c>
      <c r="E60" s="129" t="s">
        <v>783</v>
      </c>
      <c r="F60" s="129" t="s">
        <v>783</v>
      </c>
    </row>
    <row r="61" spans="2:6" ht="29">
      <c r="B61" s="127">
        <v>145</v>
      </c>
      <c r="D61" s="129" t="s">
        <v>43</v>
      </c>
      <c r="E61" s="129" t="s">
        <v>784</v>
      </c>
      <c r="F61" s="129" t="s">
        <v>784</v>
      </c>
    </row>
    <row r="62" spans="2:6" ht="14.5">
      <c r="B62" s="127">
        <v>146</v>
      </c>
      <c r="D62" s="129" t="s">
        <v>44</v>
      </c>
      <c r="E62" s="129" t="s">
        <v>785</v>
      </c>
      <c r="F62" s="129" t="s">
        <v>785</v>
      </c>
    </row>
    <row r="63" spans="2:6" ht="29">
      <c r="B63" s="127">
        <v>147</v>
      </c>
      <c r="D63" s="129" t="s">
        <v>45</v>
      </c>
      <c r="E63" s="129" t="s">
        <v>786</v>
      </c>
      <c r="F63" s="129" t="s">
        <v>786</v>
      </c>
    </row>
    <row r="64" spans="2:6" ht="14.5">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ht="14.5">
      <c r="B67" s="127">
        <v>151</v>
      </c>
      <c r="C67" s="128" t="s">
        <v>451</v>
      </c>
      <c r="D67" s="126" t="s">
        <v>335</v>
      </c>
      <c r="E67" s="134" t="s">
        <v>788</v>
      </c>
      <c r="F67" s="134" t="s">
        <v>788</v>
      </c>
    </row>
    <row r="68" spans="1:6" ht="14.5">
      <c r="B68" s="127">
        <v>152</v>
      </c>
      <c r="D68" s="129" t="s">
        <v>47</v>
      </c>
      <c r="E68" s="129" t="s">
        <v>789</v>
      </c>
      <c r="F68" s="129" t="s">
        <v>789</v>
      </c>
    </row>
    <row r="69" spans="1:6" ht="14.5">
      <c r="B69" s="127">
        <v>153</v>
      </c>
      <c r="D69" s="129" t="s">
        <v>48</v>
      </c>
      <c r="E69" s="129" t="s">
        <v>790</v>
      </c>
      <c r="F69" s="129" t="s">
        <v>790</v>
      </c>
    </row>
    <row r="70" spans="1:6" ht="14.5">
      <c r="B70" s="127">
        <v>154</v>
      </c>
      <c r="D70" s="129" t="s">
        <v>49</v>
      </c>
      <c r="E70" s="129" t="s">
        <v>791</v>
      </c>
      <c r="F70" s="129" t="s">
        <v>791</v>
      </c>
    </row>
    <row r="71" spans="1:6" ht="29">
      <c r="B71" s="127">
        <v>155</v>
      </c>
      <c r="D71" s="129" t="s">
        <v>50</v>
      </c>
      <c r="E71" s="129" t="s">
        <v>792</v>
      </c>
      <c r="F71" s="129" t="s">
        <v>792</v>
      </c>
    </row>
    <row r="72" spans="1:6" ht="14.5">
      <c r="B72" s="127">
        <v>156</v>
      </c>
      <c r="C72" s="128" t="s">
        <v>451</v>
      </c>
      <c r="D72" s="126" t="s">
        <v>449</v>
      </c>
      <c r="E72" s="134" t="s">
        <v>793</v>
      </c>
      <c r="F72" s="134" t="s">
        <v>793</v>
      </c>
    </row>
    <row r="73" spans="1:6" ht="14.5">
      <c r="B73" s="127">
        <v>157</v>
      </c>
      <c r="C73" s="128" t="s">
        <v>451</v>
      </c>
      <c r="D73" s="126" t="s">
        <v>448</v>
      </c>
      <c r="E73" s="134" t="s">
        <v>794</v>
      </c>
      <c r="F73" s="134" t="s">
        <v>794</v>
      </c>
    </row>
    <row r="74" spans="1:6" ht="14.5">
      <c r="B74" s="127">
        <v>158</v>
      </c>
      <c r="D74" s="129" t="s">
        <v>336</v>
      </c>
      <c r="E74" s="129" t="s">
        <v>795</v>
      </c>
      <c r="F74" s="129" t="s">
        <v>795</v>
      </c>
    </row>
    <row r="75" spans="1:6" ht="14.5">
      <c r="A75" s="135"/>
      <c r="B75" s="127">
        <v>159</v>
      </c>
      <c r="C75" s="132" t="s">
        <v>399</v>
      </c>
      <c r="D75" s="130" t="s">
        <v>419</v>
      </c>
      <c r="E75" s="130" t="s">
        <v>796</v>
      </c>
      <c r="F75" s="130" t="s">
        <v>796</v>
      </c>
    </row>
    <row r="76" spans="1:6" ht="14.5">
      <c r="B76" s="127">
        <v>160</v>
      </c>
      <c r="D76" s="129" t="s">
        <v>51</v>
      </c>
      <c r="E76" s="130" t="s">
        <v>797</v>
      </c>
      <c r="F76" s="130" t="s">
        <v>797</v>
      </c>
    </row>
    <row r="77" spans="1:6">
      <c r="B77" s="127">
        <v>161</v>
      </c>
      <c r="D77" s="129" t="s">
        <v>52</v>
      </c>
      <c r="E77" s="130" t="s">
        <v>1260</v>
      </c>
      <c r="F77" s="130" t="s">
        <v>1260</v>
      </c>
    </row>
    <row r="78" spans="1:6" ht="14.5">
      <c r="B78" s="127">
        <v>162</v>
      </c>
      <c r="D78" s="129" t="s">
        <v>1366</v>
      </c>
      <c r="E78" s="145" t="s">
        <v>1440</v>
      </c>
      <c r="F78" s="145" t="s">
        <v>1440</v>
      </c>
    </row>
    <row r="79" spans="1:6" ht="14.5">
      <c r="B79" s="127">
        <v>163</v>
      </c>
      <c r="D79" s="129" t="s">
        <v>1367</v>
      </c>
      <c r="E79" s="145" t="s">
        <v>1439</v>
      </c>
      <c r="F79" s="145" t="s">
        <v>1439</v>
      </c>
    </row>
    <row r="80" spans="1:6" ht="14.5">
      <c r="B80" s="127">
        <v>164</v>
      </c>
      <c r="D80" s="129" t="s">
        <v>1368</v>
      </c>
      <c r="E80" s="145" t="s">
        <v>1438</v>
      </c>
      <c r="F80" s="145" t="s">
        <v>1438</v>
      </c>
    </row>
    <row r="81" spans="1:6" ht="14.5">
      <c r="A81" s="135"/>
      <c r="B81" s="127">
        <v>165</v>
      </c>
      <c r="C81" s="132" t="s">
        <v>399</v>
      </c>
      <c r="D81" s="130" t="s">
        <v>420</v>
      </c>
      <c r="E81" s="130" t="s">
        <v>798</v>
      </c>
      <c r="F81" s="130" t="s">
        <v>798</v>
      </c>
    </row>
    <row r="82" spans="1:6" ht="14.5">
      <c r="A82" s="135"/>
      <c r="B82" s="127">
        <v>166</v>
      </c>
      <c r="C82" s="132" t="s">
        <v>399</v>
      </c>
      <c r="D82" s="130" t="s">
        <v>421</v>
      </c>
      <c r="E82" s="130" t="s">
        <v>799</v>
      </c>
      <c r="F82" s="130" t="s">
        <v>799</v>
      </c>
    </row>
    <row r="83" spans="1:6" ht="14.5">
      <c r="A83" s="135"/>
      <c r="B83" s="127">
        <v>167</v>
      </c>
      <c r="C83" s="132" t="s">
        <v>399</v>
      </c>
      <c r="D83" s="130" t="s">
        <v>422</v>
      </c>
      <c r="E83" s="130" t="s">
        <v>800</v>
      </c>
      <c r="F83" s="130" t="s">
        <v>800</v>
      </c>
    </row>
    <row r="84" spans="1:6" ht="14.5">
      <c r="A84" s="135"/>
      <c r="B84" s="127">
        <v>168</v>
      </c>
      <c r="C84" s="132" t="s">
        <v>399</v>
      </c>
      <c r="D84" s="130" t="s">
        <v>407</v>
      </c>
      <c r="E84" s="130" t="s">
        <v>801</v>
      </c>
      <c r="F84" s="130" t="s">
        <v>801</v>
      </c>
    </row>
    <row r="85" spans="1:6" ht="14.5">
      <c r="B85" s="127">
        <v>169</v>
      </c>
      <c r="D85" s="129" t="s">
        <v>53</v>
      </c>
      <c r="E85" s="129" t="s">
        <v>802</v>
      </c>
      <c r="F85" s="129" t="s">
        <v>802</v>
      </c>
    </row>
    <row r="86" spans="1:6" ht="14.5">
      <c r="B86" s="127">
        <v>170</v>
      </c>
      <c r="D86" s="129" t="s">
        <v>54</v>
      </c>
      <c r="E86" s="129" t="s">
        <v>803</v>
      </c>
      <c r="F86" s="129" t="s">
        <v>803</v>
      </c>
    </row>
    <row r="87" spans="1:6" ht="14.5">
      <c r="B87" s="127">
        <v>171</v>
      </c>
      <c r="D87" s="129" t="s">
        <v>423</v>
      </c>
      <c r="E87" s="129" t="s">
        <v>804</v>
      </c>
      <c r="F87" s="129" t="s">
        <v>804</v>
      </c>
    </row>
    <row r="88" spans="1:6" ht="14.5">
      <c r="B88" s="127">
        <v>172</v>
      </c>
      <c r="D88" s="129" t="s">
        <v>55</v>
      </c>
      <c r="E88" s="129" t="s">
        <v>805</v>
      </c>
      <c r="F88" s="129" t="s">
        <v>805</v>
      </c>
    </row>
    <row r="89" spans="1:6" ht="14.5">
      <c r="B89" s="127">
        <v>173</v>
      </c>
      <c r="D89" s="129" t="s">
        <v>56</v>
      </c>
      <c r="E89" s="129" t="s">
        <v>806</v>
      </c>
      <c r="F89" s="129" t="s">
        <v>806</v>
      </c>
    </row>
    <row r="90" spans="1:6" ht="14.5">
      <c r="B90" s="127">
        <v>174</v>
      </c>
      <c r="D90" s="129" t="s">
        <v>1365</v>
      </c>
      <c r="E90" s="129" t="s">
        <v>807</v>
      </c>
      <c r="F90" s="129" t="s">
        <v>807</v>
      </c>
    </row>
    <row r="91" spans="1:6" ht="14.5">
      <c r="B91" s="127">
        <v>175</v>
      </c>
      <c r="D91" s="129" t="s">
        <v>1371</v>
      </c>
      <c r="E91" s="145" t="s">
        <v>1372</v>
      </c>
      <c r="F91" s="145" t="s">
        <v>1372</v>
      </c>
    </row>
    <row r="92" spans="1:6" ht="29">
      <c r="B92" s="127">
        <v>176</v>
      </c>
      <c r="D92" s="129" t="s">
        <v>1364</v>
      </c>
      <c r="E92" s="145" t="s">
        <v>1373</v>
      </c>
      <c r="F92" s="129" t="s">
        <v>1307</v>
      </c>
    </row>
    <row r="93" spans="1:6" ht="14.5">
      <c r="B93" s="127">
        <v>177</v>
      </c>
      <c r="D93" s="129" t="s">
        <v>57</v>
      </c>
      <c r="E93" s="129" t="s">
        <v>808</v>
      </c>
      <c r="F93" s="129" t="s">
        <v>808</v>
      </c>
    </row>
    <row r="94" spans="1:6" ht="14.5">
      <c r="B94" s="127">
        <v>178</v>
      </c>
      <c r="D94" s="129" t="s">
        <v>58</v>
      </c>
      <c r="E94" s="129" t="s">
        <v>809</v>
      </c>
      <c r="F94" s="129" t="s">
        <v>809</v>
      </c>
    </row>
    <row r="95" spans="1:6" ht="14.5">
      <c r="B95" s="127">
        <v>179</v>
      </c>
      <c r="D95" s="129" t="s">
        <v>59</v>
      </c>
      <c r="E95" s="129" t="s">
        <v>810</v>
      </c>
      <c r="F95" s="129" t="s">
        <v>810</v>
      </c>
    </row>
    <row r="96" spans="1:6" ht="14.5">
      <c r="B96" s="127">
        <v>180</v>
      </c>
      <c r="D96" s="129" t="s">
        <v>337</v>
      </c>
      <c r="E96" s="129" t="s">
        <v>811</v>
      </c>
      <c r="F96" s="129" t="s">
        <v>811</v>
      </c>
    </row>
    <row r="97" spans="2:6" ht="14.5">
      <c r="B97" s="127">
        <v>181</v>
      </c>
      <c r="C97" s="128" t="s">
        <v>500</v>
      </c>
      <c r="D97" s="129" t="s">
        <v>521</v>
      </c>
      <c r="E97" s="129" t="s">
        <v>812</v>
      </c>
      <c r="F97" s="129" t="s">
        <v>812</v>
      </c>
    </row>
    <row r="98" spans="2:6" ht="43.5">
      <c r="B98" s="127">
        <v>182</v>
      </c>
      <c r="C98" s="128" t="s">
        <v>500</v>
      </c>
      <c r="D98" s="129" t="s">
        <v>541</v>
      </c>
      <c r="E98" s="129" t="s">
        <v>813</v>
      </c>
      <c r="F98" s="129" t="s">
        <v>813</v>
      </c>
    </row>
    <row r="99" spans="2:6" ht="14.5">
      <c r="B99" s="127">
        <v>183</v>
      </c>
      <c r="D99" s="129" t="s">
        <v>60</v>
      </c>
      <c r="E99" s="129" t="s">
        <v>814</v>
      </c>
      <c r="F99" s="129" t="s">
        <v>814</v>
      </c>
    </row>
    <row r="100" spans="2:6" ht="14.5">
      <c r="B100" s="127">
        <v>184</v>
      </c>
      <c r="D100" s="129" t="s">
        <v>572</v>
      </c>
      <c r="E100" s="129" t="s">
        <v>815</v>
      </c>
      <c r="F100" s="129" t="s">
        <v>815</v>
      </c>
    </row>
    <row r="101" spans="2:6" ht="14.5">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14.5">
      <c r="B104" s="127">
        <v>188</v>
      </c>
      <c r="D104" s="129" t="s">
        <v>64</v>
      </c>
      <c r="E104" s="129" t="s">
        <v>819</v>
      </c>
      <c r="F104" s="129" t="s">
        <v>819</v>
      </c>
    </row>
    <row r="105" spans="2:6" ht="14.5">
      <c r="B105" s="127">
        <v>189</v>
      </c>
      <c r="D105" s="129" t="s">
        <v>65</v>
      </c>
      <c r="E105" s="129" t="s">
        <v>820</v>
      </c>
      <c r="F105" s="129" t="s">
        <v>820</v>
      </c>
    </row>
    <row r="106" spans="2:6" ht="14.5">
      <c r="B106" s="127">
        <v>190</v>
      </c>
      <c r="C106" s="128" t="s">
        <v>500</v>
      </c>
      <c r="D106" s="129" t="s">
        <v>519</v>
      </c>
      <c r="E106" s="129" t="s">
        <v>821</v>
      </c>
      <c r="F106" s="129" t="s">
        <v>821</v>
      </c>
    </row>
    <row r="107" spans="2:6" ht="14.5">
      <c r="B107" s="127">
        <v>191</v>
      </c>
      <c r="D107" s="129" t="s">
        <v>547</v>
      </c>
      <c r="E107" s="129" t="s">
        <v>822</v>
      </c>
      <c r="F107" s="129" t="s">
        <v>822</v>
      </c>
    </row>
    <row r="108" spans="2:6" ht="14.5">
      <c r="B108" s="127">
        <v>192</v>
      </c>
      <c r="D108" s="129" t="s">
        <v>441</v>
      </c>
      <c r="E108" s="129" t="s">
        <v>823</v>
      </c>
      <c r="F108" s="129" t="s">
        <v>823</v>
      </c>
    </row>
    <row r="109" spans="2:6" ht="14.5">
      <c r="B109" s="127">
        <v>193</v>
      </c>
      <c r="D109" s="129" t="s">
        <v>442</v>
      </c>
      <c r="E109" s="129" t="s">
        <v>824</v>
      </c>
      <c r="F109" s="129" t="s">
        <v>824</v>
      </c>
    </row>
    <row r="110" spans="2:6" ht="14.5">
      <c r="B110" s="127">
        <v>194</v>
      </c>
      <c r="D110" s="129" t="s">
        <v>66</v>
      </c>
      <c r="E110" s="129" t="s">
        <v>825</v>
      </c>
      <c r="F110" s="129" t="s">
        <v>825</v>
      </c>
    </row>
    <row r="111" spans="2:6" ht="14.5">
      <c r="B111" s="127">
        <v>195</v>
      </c>
      <c r="D111" s="129" t="s">
        <v>67</v>
      </c>
      <c r="E111" s="129" t="s">
        <v>826</v>
      </c>
      <c r="F111" s="129" t="s">
        <v>826</v>
      </c>
    </row>
    <row r="112" spans="2:6" ht="14.5">
      <c r="B112" s="127">
        <v>196</v>
      </c>
      <c r="D112" s="129" t="s">
        <v>338</v>
      </c>
      <c r="E112" s="129" t="s">
        <v>827</v>
      </c>
      <c r="F112" s="129" t="s">
        <v>827</v>
      </c>
    </row>
    <row r="113" spans="2:6" ht="24">
      <c r="B113" s="127">
        <v>197</v>
      </c>
      <c r="D113" s="129" t="s">
        <v>339</v>
      </c>
      <c r="E113" s="129" t="s">
        <v>828</v>
      </c>
      <c r="F113" s="129" t="s">
        <v>828</v>
      </c>
    </row>
    <row r="114" spans="2:6" ht="26.5">
      <c r="B114" s="127">
        <v>198</v>
      </c>
      <c r="D114" s="129" t="s">
        <v>68</v>
      </c>
      <c r="E114" s="129" t="s">
        <v>829</v>
      </c>
      <c r="F114" s="129" t="s">
        <v>829</v>
      </c>
    </row>
    <row r="115" spans="2:6" ht="14.5">
      <c r="B115" s="127">
        <v>199</v>
      </c>
      <c r="D115" s="129" t="s">
        <v>574</v>
      </c>
      <c r="E115" s="129" t="s">
        <v>830</v>
      </c>
      <c r="F115" s="129" t="s">
        <v>830</v>
      </c>
    </row>
    <row r="116" spans="2:6">
      <c r="B116" s="127">
        <v>200</v>
      </c>
      <c r="D116" s="129" t="s">
        <v>69</v>
      </c>
      <c r="E116" s="129" t="s">
        <v>70</v>
      </c>
      <c r="F116" s="129" t="s">
        <v>70</v>
      </c>
    </row>
    <row r="117" spans="2:6" ht="14.5">
      <c r="B117" s="127">
        <v>201</v>
      </c>
      <c r="D117" s="129" t="s">
        <v>566</v>
      </c>
      <c r="E117" s="129" t="s">
        <v>831</v>
      </c>
      <c r="F117" s="129" t="s">
        <v>831</v>
      </c>
    </row>
    <row r="118" spans="2:6" ht="14.5">
      <c r="B118" s="127">
        <v>202</v>
      </c>
      <c r="D118" s="129" t="s">
        <v>340</v>
      </c>
      <c r="E118" s="129" t="s">
        <v>832</v>
      </c>
      <c r="F118" s="129" t="s">
        <v>832</v>
      </c>
    </row>
    <row r="119" spans="2:6" ht="14.5">
      <c r="B119" s="127">
        <v>203</v>
      </c>
      <c r="D119" s="129" t="s">
        <v>341</v>
      </c>
      <c r="E119" s="129" t="s">
        <v>833</v>
      </c>
      <c r="F119" s="129" t="s">
        <v>833</v>
      </c>
    </row>
    <row r="120" spans="2:6" ht="14.5">
      <c r="B120" s="127">
        <v>204</v>
      </c>
      <c r="D120" s="129" t="s">
        <v>342</v>
      </c>
      <c r="E120" s="129" t="s">
        <v>834</v>
      </c>
      <c r="F120" s="129" t="s">
        <v>834</v>
      </c>
    </row>
    <row r="121" spans="2:6" ht="14.5">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ht="14.5">
      <c r="B126" s="127">
        <v>210</v>
      </c>
      <c r="D126" s="129" t="s">
        <v>443</v>
      </c>
      <c r="E126" s="129" t="s">
        <v>836</v>
      </c>
      <c r="F126" s="129" t="s">
        <v>836</v>
      </c>
    </row>
    <row r="127" spans="2:6">
      <c r="B127" s="127">
        <v>211</v>
      </c>
      <c r="D127" s="129" t="s">
        <v>74</v>
      </c>
      <c r="E127" s="129" t="s">
        <v>74</v>
      </c>
      <c r="F127" s="129" t="s">
        <v>74</v>
      </c>
    </row>
    <row r="128" spans="2:6" ht="14.5">
      <c r="B128" s="127">
        <v>212</v>
      </c>
      <c r="D128" s="129" t="s">
        <v>75</v>
      </c>
      <c r="E128" s="129" t="s">
        <v>837</v>
      </c>
      <c r="F128" s="129" t="s">
        <v>837</v>
      </c>
    </row>
    <row r="129" spans="2:6" ht="14.5">
      <c r="B129" s="127">
        <v>213</v>
      </c>
      <c r="D129" s="129" t="s">
        <v>76</v>
      </c>
      <c r="E129" s="129" t="s">
        <v>838</v>
      </c>
      <c r="F129" s="129" t="s">
        <v>838</v>
      </c>
    </row>
    <row r="130" spans="2:6" ht="14.5">
      <c r="B130" s="127">
        <v>214</v>
      </c>
      <c r="D130" s="129" t="s">
        <v>77</v>
      </c>
      <c r="E130" s="129" t="s">
        <v>839</v>
      </c>
      <c r="F130" s="129" t="s">
        <v>839</v>
      </c>
    </row>
    <row r="131" spans="2:6" ht="14.5">
      <c r="B131" s="127">
        <v>215</v>
      </c>
      <c r="D131" s="129" t="s">
        <v>343</v>
      </c>
      <c r="E131" s="129" t="s">
        <v>840</v>
      </c>
      <c r="F131" s="129" t="s">
        <v>840</v>
      </c>
    </row>
    <row r="132" spans="2:6" ht="14.5">
      <c r="B132" s="127">
        <v>216</v>
      </c>
      <c r="D132" s="129" t="s">
        <v>78</v>
      </c>
      <c r="E132" s="129" t="s">
        <v>841</v>
      </c>
      <c r="F132" s="129" t="s">
        <v>841</v>
      </c>
    </row>
    <row r="133" spans="2:6" ht="14.5">
      <c r="B133" s="127">
        <v>217</v>
      </c>
      <c r="D133" s="129" t="s">
        <v>344</v>
      </c>
      <c r="E133" s="129" t="s">
        <v>842</v>
      </c>
      <c r="F133" s="129" t="s">
        <v>842</v>
      </c>
    </row>
    <row r="134" spans="2:6" ht="14.5">
      <c r="B134" s="127">
        <v>218</v>
      </c>
      <c r="D134" s="129" t="s">
        <v>79</v>
      </c>
      <c r="E134" s="129" t="s">
        <v>843</v>
      </c>
      <c r="F134" s="129" t="s">
        <v>843</v>
      </c>
    </row>
    <row r="135" spans="2:6" ht="14.5">
      <c r="B135" s="127">
        <v>219</v>
      </c>
      <c r="D135" s="129" t="s">
        <v>80</v>
      </c>
      <c r="E135" s="129" t="s">
        <v>844</v>
      </c>
      <c r="F135" s="129" t="s">
        <v>844</v>
      </c>
    </row>
    <row r="136" spans="2:6" ht="14.5">
      <c r="B136" s="127">
        <v>220</v>
      </c>
      <c r="D136" s="129" t="s">
        <v>81</v>
      </c>
      <c r="E136" s="129" t="s">
        <v>845</v>
      </c>
      <c r="F136" s="129" t="s">
        <v>845</v>
      </c>
    </row>
    <row r="137" spans="2:6" ht="14.5">
      <c r="B137" s="127">
        <v>221</v>
      </c>
      <c r="D137" s="129" t="s">
        <v>345</v>
      </c>
      <c r="E137" s="129" t="s">
        <v>846</v>
      </c>
      <c r="F137" s="129" t="s">
        <v>846</v>
      </c>
    </row>
    <row r="138" spans="2:6" ht="14.5">
      <c r="B138" s="127">
        <v>222</v>
      </c>
      <c r="D138" s="129" t="s">
        <v>82</v>
      </c>
      <c r="E138" s="129" t="s">
        <v>847</v>
      </c>
      <c r="F138" s="129" t="s">
        <v>847</v>
      </c>
    </row>
    <row r="139" spans="2:6" ht="14.5">
      <c r="B139" s="127">
        <v>223</v>
      </c>
      <c r="D139" s="129" t="s">
        <v>83</v>
      </c>
      <c r="E139" s="129" t="s">
        <v>848</v>
      </c>
      <c r="F139" s="129" t="s">
        <v>848</v>
      </c>
    </row>
    <row r="140" spans="2:6" ht="14.5">
      <c r="B140" s="127">
        <v>224</v>
      </c>
      <c r="C140" s="128" t="s">
        <v>451</v>
      </c>
      <c r="D140" s="129" t="s">
        <v>460</v>
      </c>
      <c r="E140" s="129" t="s">
        <v>849</v>
      </c>
      <c r="F140" s="129" t="s">
        <v>849</v>
      </c>
    </row>
    <row r="141" spans="2:6" ht="14.5">
      <c r="B141" s="127">
        <v>225</v>
      </c>
      <c r="D141" s="129" t="s">
        <v>84</v>
      </c>
      <c r="E141" s="129" t="s">
        <v>850</v>
      </c>
      <c r="F141" s="129" t="s">
        <v>850</v>
      </c>
    </row>
    <row r="142" spans="2:6" ht="14.5">
      <c r="B142" s="127">
        <v>226</v>
      </c>
      <c r="D142" s="129" t="s">
        <v>543</v>
      </c>
      <c r="E142" s="129" t="s">
        <v>851</v>
      </c>
      <c r="F142" s="129" t="s">
        <v>851</v>
      </c>
    </row>
    <row r="143" spans="2:6" ht="14.5">
      <c r="B143" s="127">
        <v>227</v>
      </c>
      <c r="D143" s="129" t="s">
        <v>346</v>
      </c>
      <c r="E143" s="129" t="s">
        <v>852</v>
      </c>
      <c r="F143" s="129" t="s">
        <v>852</v>
      </c>
    </row>
    <row r="144" spans="2:6" ht="14.5">
      <c r="B144" s="127">
        <v>228</v>
      </c>
      <c r="D144" s="129" t="s">
        <v>347</v>
      </c>
      <c r="E144" s="129" t="s">
        <v>853</v>
      </c>
      <c r="F144" s="129" t="s">
        <v>853</v>
      </c>
    </row>
    <row r="145" spans="2:6" ht="14.5">
      <c r="B145" s="127">
        <v>229</v>
      </c>
      <c r="D145" s="129" t="s">
        <v>498</v>
      </c>
      <c r="E145" s="129" t="s">
        <v>854</v>
      </c>
      <c r="F145" s="129" t="s">
        <v>854</v>
      </c>
    </row>
    <row r="146" spans="2:6" ht="14.5">
      <c r="B146" s="127">
        <v>230</v>
      </c>
      <c r="D146" s="129" t="s">
        <v>497</v>
      </c>
      <c r="E146" s="129" t="s">
        <v>855</v>
      </c>
      <c r="F146" s="129" t="s">
        <v>855</v>
      </c>
    </row>
    <row r="147" spans="2:6" ht="14.5">
      <c r="B147" s="127">
        <v>231</v>
      </c>
      <c r="D147" s="129" t="s">
        <v>348</v>
      </c>
      <c r="E147" s="129" t="s">
        <v>856</v>
      </c>
      <c r="F147" s="129" t="s">
        <v>856</v>
      </c>
    </row>
    <row r="148" spans="2:6" ht="14.5">
      <c r="B148" s="127">
        <v>232</v>
      </c>
      <c r="D148" s="129" t="s">
        <v>556</v>
      </c>
      <c r="E148" s="129" t="s">
        <v>857</v>
      </c>
      <c r="F148" s="129" t="s">
        <v>857</v>
      </c>
    </row>
    <row r="149" spans="2:6" ht="14.5">
      <c r="B149" s="127">
        <v>233</v>
      </c>
      <c r="D149" s="129" t="s">
        <v>349</v>
      </c>
      <c r="E149" s="129" t="s">
        <v>858</v>
      </c>
      <c r="F149" s="129" t="s">
        <v>858</v>
      </c>
    </row>
    <row r="150" spans="2:6" ht="14.5">
      <c r="B150" s="127">
        <v>234</v>
      </c>
      <c r="D150" s="129" t="s">
        <v>350</v>
      </c>
      <c r="E150" s="129" t="s">
        <v>859</v>
      </c>
      <c r="F150" s="129" t="s">
        <v>859</v>
      </c>
    </row>
    <row r="151" spans="2:6" ht="14.5">
      <c r="B151" s="127">
        <v>235</v>
      </c>
      <c r="D151" s="129" t="s">
        <v>85</v>
      </c>
      <c r="E151" s="129" t="s">
        <v>860</v>
      </c>
      <c r="F151" s="129" t="s">
        <v>860</v>
      </c>
    </row>
    <row r="152" spans="2:6" ht="14.5">
      <c r="B152" s="127">
        <v>236</v>
      </c>
      <c r="D152" s="129" t="s">
        <v>351</v>
      </c>
      <c r="E152" s="129" t="s">
        <v>861</v>
      </c>
      <c r="F152" s="129" t="s">
        <v>861</v>
      </c>
    </row>
    <row r="153" spans="2:6" ht="14.5">
      <c r="B153" s="127">
        <v>237</v>
      </c>
      <c r="D153" s="129" t="s">
        <v>1256</v>
      </c>
      <c r="E153" s="129" t="s">
        <v>862</v>
      </c>
      <c r="F153" s="129" t="s">
        <v>862</v>
      </c>
    </row>
    <row r="154" spans="2:6" ht="14.5">
      <c r="B154" s="127">
        <v>238</v>
      </c>
      <c r="D154" s="129" t="s">
        <v>86</v>
      </c>
      <c r="E154" s="129" t="s">
        <v>863</v>
      </c>
      <c r="F154" s="129" t="s">
        <v>863</v>
      </c>
    </row>
    <row r="155" spans="2:6" ht="14.5">
      <c r="B155" s="127">
        <v>239</v>
      </c>
      <c r="D155" s="129" t="s">
        <v>87</v>
      </c>
      <c r="E155" s="129" t="s">
        <v>864</v>
      </c>
      <c r="F155" s="129" t="s">
        <v>864</v>
      </c>
    </row>
    <row r="156" spans="2:6" ht="14.5">
      <c r="B156" s="127">
        <v>240</v>
      </c>
      <c r="D156" s="129" t="s">
        <v>88</v>
      </c>
      <c r="E156" s="129" t="s">
        <v>865</v>
      </c>
      <c r="F156" s="129" t="s">
        <v>865</v>
      </c>
    </row>
    <row r="157" spans="2:6">
      <c r="B157" s="127">
        <v>241</v>
      </c>
      <c r="D157" s="129" t="s">
        <v>352</v>
      </c>
      <c r="E157" s="129" t="s">
        <v>1333</v>
      </c>
      <c r="F157" s="129" t="s">
        <v>1333</v>
      </c>
    </row>
    <row r="158" spans="2:6" ht="14.5">
      <c r="B158" s="127">
        <v>242</v>
      </c>
      <c r="D158" s="129" t="s">
        <v>353</v>
      </c>
      <c r="E158" s="129" t="s">
        <v>866</v>
      </c>
      <c r="F158" s="129" t="s">
        <v>866</v>
      </c>
    </row>
    <row r="159" spans="2:6" ht="14.5">
      <c r="B159" s="127">
        <v>243</v>
      </c>
      <c r="D159" s="129" t="s">
        <v>544</v>
      </c>
      <c r="E159" s="129" t="s">
        <v>867</v>
      </c>
      <c r="F159" s="129" t="s">
        <v>867</v>
      </c>
    </row>
    <row r="160" spans="2:6" ht="14.5">
      <c r="B160" s="127">
        <v>244</v>
      </c>
      <c r="D160" s="129" t="s">
        <v>597</v>
      </c>
      <c r="E160" s="129" t="s">
        <v>868</v>
      </c>
      <c r="F160" s="129" t="s">
        <v>868</v>
      </c>
    </row>
    <row r="161" spans="2:6" ht="14.5">
      <c r="B161" s="127">
        <v>245</v>
      </c>
      <c r="D161" s="129" t="s">
        <v>598</v>
      </c>
      <c r="E161" s="129" t="s">
        <v>869</v>
      </c>
      <c r="F161" s="129" t="s">
        <v>869</v>
      </c>
    </row>
    <row r="162" spans="2:6">
      <c r="B162" s="127">
        <v>246</v>
      </c>
      <c r="D162" s="129" t="s">
        <v>354</v>
      </c>
      <c r="E162" s="129" t="s">
        <v>1334</v>
      </c>
      <c r="F162" s="129" t="s">
        <v>1334</v>
      </c>
    </row>
    <row r="163" spans="2:6" ht="14.5">
      <c r="B163" s="127">
        <v>247</v>
      </c>
      <c r="D163" s="129" t="s">
        <v>546</v>
      </c>
      <c r="E163" s="129" t="s">
        <v>870</v>
      </c>
      <c r="F163" s="129" t="s">
        <v>870</v>
      </c>
    </row>
    <row r="164" spans="2:6" ht="14.5">
      <c r="B164" s="127">
        <v>248</v>
      </c>
      <c r="D164" s="129" t="s">
        <v>355</v>
      </c>
      <c r="E164" s="129" t="s">
        <v>871</v>
      </c>
      <c r="F164" s="129" t="s">
        <v>871</v>
      </c>
    </row>
    <row r="165" spans="2:6" ht="14.5">
      <c r="B165" s="127">
        <v>249</v>
      </c>
      <c r="D165" s="129" t="s">
        <v>356</v>
      </c>
      <c r="E165" s="129" t="s">
        <v>872</v>
      </c>
      <c r="F165" s="129" t="s">
        <v>872</v>
      </c>
    </row>
    <row r="166" spans="2:6" ht="14.5">
      <c r="B166" s="127">
        <v>250</v>
      </c>
      <c r="D166" s="129" t="s">
        <v>89</v>
      </c>
      <c r="E166" s="129" t="s">
        <v>873</v>
      </c>
      <c r="F166" s="129" t="s">
        <v>873</v>
      </c>
    </row>
    <row r="167" spans="2:6" ht="14.5">
      <c r="B167" s="127">
        <v>251</v>
      </c>
      <c r="D167" s="129" t="s">
        <v>90</v>
      </c>
      <c r="E167" s="145" t="s">
        <v>1374</v>
      </c>
      <c r="F167" s="145" t="s">
        <v>1374</v>
      </c>
    </row>
    <row r="168" spans="2:6" ht="14.5">
      <c r="B168" s="127">
        <v>252</v>
      </c>
      <c r="D168" s="129" t="s">
        <v>545</v>
      </c>
      <c r="E168" s="129" t="s">
        <v>874</v>
      </c>
      <c r="F168" s="129" t="s">
        <v>874</v>
      </c>
    </row>
    <row r="169" spans="2:6" ht="14.5">
      <c r="B169" s="127">
        <v>253</v>
      </c>
      <c r="D169" s="129" t="s">
        <v>607</v>
      </c>
      <c r="E169" s="129" t="s">
        <v>875</v>
      </c>
      <c r="F169" s="129" t="s">
        <v>875</v>
      </c>
    </row>
    <row r="170" spans="2:6" ht="14.5">
      <c r="B170" s="127">
        <v>254</v>
      </c>
      <c r="D170" s="129" t="s">
        <v>91</v>
      </c>
      <c r="E170" s="129" t="s">
        <v>876</v>
      </c>
      <c r="F170" s="129" t="s">
        <v>876</v>
      </c>
    </row>
    <row r="171" spans="2:6" ht="14.5">
      <c r="B171" s="127">
        <v>255</v>
      </c>
      <c r="C171" s="128" t="s">
        <v>451</v>
      </c>
      <c r="D171" s="129" t="s">
        <v>457</v>
      </c>
      <c r="E171" s="129" t="s">
        <v>877</v>
      </c>
      <c r="F171" s="129" t="s">
        <v>877</v>
      </c>
    </row>
    <row r="172" spans="2:6" ht="14.5">
      <c r="B172" s="127">
        <v>256</v>
      </c>
      <c r="D172" s="129" t="s">
        <v>92</v>
      </c>
      <c r="E172" s="129" t="s">
        <v>878</v>
      </c>
      <c r="F172" s="129" t="s">
        <v>878</v>
      </c>
    </row>
    <row r="173" spans="2:6" ht="14.5">
      <c r="B173" s="127">
        <v>257</v>
      </c>
      <c r="D173" s="129" t="s">
        <v>357</v>
      </c>
      <c r="E173" s="129" t="s">
        <v>879</v>
      </c>
      <c r="F173" s="129" t="s">
        <v>879</v>
      </c>
    </row>
    <row r="174" spans="2:6">
      <c r="B174" s="127">
        <v>258</v>
      </c>
      <c r="D174" s="129" t="s">
        <v>358</v>
      </c>
      <c r="E174" s="129" t="s">
        <v>1335</v>
      </c>
      <c r="F174" s="129" t="s">
        <v>1335</v>
      </c>
    </row>
    <row r="175" spans="2:6" ht="14.5">
      <c r="B175" s="127">
        <v>259</v>
      </c>
      <c r="D175" s="129" t="s">
        <v>359</v>
      </c>
      <c r="E175" s="129" t="s">
        <v>880</v>
      </c>
      <c r="F175" s="129" t="s">
        <v>880</v>
      </c>
    </row>
    <row r="176" spans="2:6" ht="14.5">
      <c r="B176" s="127">
        <v>260</v>
      </c>
      <c r="D176" s="129" t="s">
        <v>490</v>
      </c>
      <c r="E176" s="129" t="s">
        <v>881</v>
      </c>
      <c r="F176" s="129" t="s">
        <v>881</v>
      </c>
    </row>
    <row r="177" spans="2:6" ht="14.5">
      <c r="B177" s="127">
        <v>261</v>
      </c>
      <c r="D177" s="129" t="s">
        <v>492</v>
      </c>
      <c r="E177" s="129" t="s">
        <v>882</v>
      </c>
      <c r="F177" s="129" t="s">
        <v>882</v>
      </c>
    </row>
    <row r="178" spans="2:6" ht="24">
      <c r="B178" s="127">
        <v>262</v>
      </c>
      <c r="D178" s="129" t="s">
        <v>1369</v>
      </c>
      <c r="E178" s="145" t="s">
        <v>1370</v>
      </c>
      <c r="F178" s="145" t="s">
        <v>1370</v>
      </c>
    </row>
    <row r="179" spans="2:6" ht="14.5">
      <c r="B179" s="127">
        <v>263</v>
      </c>
      <c r="D179" s="129" t="s">
        <v>1363</v>
      </c>
      <c r="E179" s="145" t="s">
        <v>1362</v>
      </c>
      <c r="F179" s="145" t="s">
        <v>1362</v>
      </c>
    </row>
    <row r="180" spans="2:6">
      <c r="B180" s="127">
        <v>264</v>
      </c>
      <c r="D180" s="129" t="s">
        <v>491</v>
      </c>
      <c r="E180" s="129" t="s">
        <v>1336</v>
      </c>
      <c r="F180" s="129" t="s">
        <v>1336</v>
      </c>
    </row>
    <row r="181" spans="2:6" ht="14.5">
      <c r="B181" s="127">
        <v>265</v>
      </c>
      <c r="D181" s="129" t="s">
        <v>493</v>
      </c>
      <c r="E181" s="129" t="s">
        <v>883</v>
      </c>
      <c r="F181" s="129" t="s">
        <v>883</v>
      </c>
    </row>
    <row r="182" spans="2:6" ht="14.5">
      <c r="B182" s="127">
        <v>266</v>
      </c>
      <c r="D182" s="129" t="s">
        <v>489</v>
      </c>
      <c r="E182" s="129" t="s">
        <v>884</v>
      </c>
      <c r="F182" s="129" t="s">
        <v>884</v>
      </c>
    </row>
    <row r="183" spans="2:6" ht="14.5">
      <c r="B183" s="127">
        <v>267</v>
      </c>
      <c r="D183" s="129" t="s">
        <v>93</v>
      </c>
      <c r="E183" s="129" t="s">
        <v>885</v>
      </c>
      <c r="F183" s="129" t="s">
        <v>885</v>
      </c>
    </row>
    <row r="184" spans="2:6" ht="14.5">
      <c r="B184" s="127">
        <v>268</v>
      </c>
      <c r="D184" s="129" t="s">
        <v>562</v>
      </c>
      <c r="E184" s="129" t="s">
        <v>886</v>
      </c>
      <c r="F184" s="129" t="s">
        <v>886</v>
      </c>
    </row>
    <row r="185" spans="2:6" ht="14.5">
      <c r="B185" s="127">
        <v>269</v>
      </c>
      <c r="D185" s="129" t="s">
        <v>94</v>
      </c>
      <c r="E185" s="129" t="s">
        <v>887</v>
      </c>
      <c r="F185" s="129" t="s">
        <v>887</v>
      </c>
    </row>
    <row r="186" spans="2:6" ht="14.5">
      <c r="B186" s="127">
        <v>270</v>
      </c>
      <c r="D186" s="129" t="s">
        <v>360</v>
      </c>
      <c r="E186" s="129" t="s">
        <v>888</v>
      </c>
      <c r="F186" s="129" t="s">
        <v>888</v>
      </c>
    </row>
    <row r="187" spans="2:6" ht="24">
      <c r="B187" s="127">
        <v>271</v>
      </c>
      <c r="D187" s="129" t="s">
        <v>1396</v>
      </c>
      <c r="E187" s="129" t="s">
        <v>889</v>
      </c>
      <c r="F187" s="129" t="s">
        <v>889</v>
      </c>
    </row>
    <row r="188" spans="2:6" ht="43.5">
      <c r="B188" s="127">
        <v>272</v>
      </c>
      <c r="D188" s="129" t="s">
        <v>95</v>
      </c>
      <c r="E188" s="129" t="s">
        <v>890</v>
      </c>
      <c r="F188" s="129" t="s">
        <v>890</v>
      </c>
    </row>
    <row r="189" spans="2:6" ht="14.5">
      <c r="B189" s="127">
        <v>273</v>
      </c>
      <c r="D189" s="129" t="s">
        <v>96</v>
      </c>
      <c r="E189" s="129" t="s">
        <v>891</v>
      </c>
      <c r="F189" s="129" t="s">
        <v>891</v>
      </c>
    </row>
    <row r="190" spans="2:6" ht="14.5">
      <c r="B190" s="127">
        <v>274</v>
      </c>
      <c r="D190" s="129" t="s">
        <v>97</v>
      </c>
      <c r="E190" s="129" t="s">
        <v>892</v>
      </c>
      <c r="F190" s="129" t="s">
        <v>892</v>
      </c>
    </row>
    <row r="191" spans="2:6" ht="14.5">
      <c r="B191" s="127">
        <v>275</v>
      </c>
      <c r="D191" s="129" t="s">
        <v>98</v>
      </c>
      <c r="E191" s="129" t="s">
        <v>893</v>
      </c>
      <c r="F191" s="129" t="s">
        <v>893</v>
      </c>
    </row>
    <row r="192" spans="2:6" ht="14.5">
      <c r="B192" s="127">
        <v>276</v>
      </c>
      <c r="D192" s="129" t="s">
        <v>99</v>
      </c>
      <c r="E192" s="129" t="s">
        <v>894</v>
      </c>
      <c r="F192" s="129" t="s">
        <v>894</v>
      </c>
    </row>
    <row r="193" spans="2:6" ht="14.5">
      <c r="B193" s="127">
        <v>277</v>
      </c>
      <c r="D193" s="129" t="s">
        <v>100</v>
      </c>
      <c r="E193" s="129" t="s">
        <v>895</v>
      </c>
      <c r="F193" s="129" t="s">
        <v>895</v>
      </c>
    </row>
    <row r="194" spans="2:6" ht="14.5">
      <c r="B194" s="127">
        <v>278</v>
      </c>
      <c r="D194" s="129" t="s">
        <v>101</v>
      </c>
      <c r="E194" s="129" t="s">
        <v>896</v>
      </c>
      <c r="F194" s="129" t="s">
        <v>896</v>
      </c>
    </row>
    <row r="195" spans="2:6" ht="14.5">
      <c r="B195" s="127">
        <v>279</v>
      </c>
      <c r="D195" s="129" t="s">
        <v>102</v>
      </c>
      <c r="E195" s="129" t="s">
        <v>897</v>
      </c>
      <c r="F195" s="129" t="s">
        <v>897</v>
      </c>
    </row>
    <row r="196" spans="2:6" ht="14.5">
      <c r="B196" s="127">
        <v>280</v>
      </c>
      <c r="D196" s="129" t="s">
        <v>103</v>
      </c>
      <c r="E196" s="129" t="s">
        <v>898</v>
      </c>
      <c r="F196" s="129" t="s">
        <v>898</v>
      </c>
    </row>
    <row r="197" spans="2:6" ht="14.5">
      <c r="B197" s="127">
        <v>281</v>
      </c>
      <c r="D197" s="129" t="s">
        <v>104</v>
      </c>
      <c r="E197" s="129" t="s">
        <v>899</v>
      </c>
      <c r="F197" s="129" t="s">
        <v>899</v>
      </c>
    </row>
    <row r="198" spans="2:6" ht="14.5">
      <c r="B198" s="127">
        <v>282</v>
      </c>
      <c r="D198" s="129" t="s">
        <v>105</v>
      </c>
      <c r="E198" s="129" t="s">
        <v>900</v>
      </c>
      <c r="F198" s="129" t="s">
        <v>900</v>
      </c>
    </row>
    <row r="199" spans="2:6" ht="14.5">
      <c r="B199" s="127">
        <v>283</v>
      </c>
      <c r="D199" s="129" t="s">
        <v>106</v>
      </c>
      <c r="E199" s="129" t="s">
        <v>901</v>
      </c>
      <c r="F199" s="129" t="s">
        <v>901</v>
      </c>
    </row>
    <row r="200" spans="2:6" ht="29">
      <c r="B200" s="127">
        <v>284</v>
      </c>
      <c r="D200" s="129" t="s">
        <v>107</v>
      </c>
      <c r="E200" s="145" t="s">
        <v>1395</v>
      </c>
      <c r="F200" s="129" t="s">
        <v>902</v>
      </c>
    </row>
    <row r="201" spans="2:6" ht="14.5">
      <c r="B201" s="127">
        <v>285</v>
      </c>
      <c r="D201" s="129" t="s">
        <v>361</v>
      </c>
      <c r="E201" s="129" t="s">
        <v>903</v>
      </c>
      <c r="F201" s="129" t="s">
        <v>903</v>
      </c>
    </row>
    <row r="202" spans="2:6" ht="14.5">
      <c r="B202" s="127">
        <v>286</v>
      </c>
      <c r="D202" s="129" t="s">
        <v>108</v>
      </c>
      <c r="E202" s="129" t="s">
        <v>904</v>
      </c>
      <c r="F202" s="129" t="s">
        <v>904</v>
      </c>
    </row>
    <row r="203" spans="2:6" ht="14.5">
      <c r="B203" s="127">
        <v>287</v>
      </c>
      <c r="D203" s="129" t="s">
        <v>109</v>
      </c>
      <c r="E203" s="129" t="s">
        <v>905</v>
      </c>
      <c r="F203" s="129" t="s">
        <v>905</v>
      </c>
    </row>
    <row r="204" spans="2:6" ht="14.5">
      <c r="B204" s="127">
        <v>288</v>
      </c>
      <c r="D204" s="129" t="s">
        <v>110</v>
      </c>
      <c r="E204" s="129" t="s">
        <v>906</v>
      </c>
      <c r="F204" s="129" t="s">
        <v>906</v>
      </c>
    </row>
    <row r="205" spans="2:6" ht="14.5">
      <c r="B205" s="127">
        <v>289</v>
      </c>
      <c r="D205" s="129" t="s">
        <v>362</v>
      </c>
      <c r="E205" s="129" t="s">
        <v>907</v>
      </c>
      <c r="F205" s="129" t="s">
        <v>907</v>
      </c>
    </row>
    <row r="206" spans="2:6" ht="14.5">
      <c r="B206" s="127">
        <v>290</v>
      </c>
      <c r="D206" s="129" t="s">
        <v>363</v>
      </c>
      <c r="E206" s="129" t="s">
        <v>1247</v>
      </c>
      <c r="F206" s="129" t="s">
        <v>1247</v>
      </c>
    </row>
    <row r="207" spans="2:6" ht="14.5">
      <c r="B207" s="127">
        <v>291</v>
      </c>
      <c r="D207" s="129" t="s">
        <v>549</v>
      </c>
      <c r="E207" s="129" t="s">
        <v>908</v>
      </c>
      <c r="F207" s="129" t="s">
        <v>908</v>
      </c>
    </row>
    <row r="208" spans="2:6">
      <c r="B208" s="127">
        <v>292</v>
      </c>
      <c r="D208" s="129" t="s">
        <v>576</v>
      </c>
      <c r="E208" s="129" t="s">
        <v>1337</v>
      </c>
      <c r="F208" s="129" t="s">
        <v>1337</v>
      </c>
    </row>
    <row r="209" spans="2:6" ht="14.5">
      <c r="B209" s="127">
        <v>293</v>
      </c>
      <c r="D209" s="129" t="s">
        <v>550</v>
      </c>
      <c r="E209" s="129" t="s">
        <v>909</v>
      </c>
      <c r="F209" s="129" t="s">
        <v>909</v>
      </c>
    </row>
    <row r="210" spans="2:6" ht="14.5">
      <c r="B210" s="127">
        <v>294</v>
      </c>
      <c r="D210" s="129" t="s">
        <v>548</v>
      </c>
      <c r="E210" s="129" t="s">
        <v>910</v>
      </c>
      <c r="F210" s="129" t="s">
        <v>910</v>
      </c>
    </row>
    <row r="211" spans="2:6" ht="14.5">
      <c r="B211" s="127">
        <v>295</v>
      </c>
      <c r="D211" s="129" t="s">
        <v>364</v>
      </c>
      <c r="E211" s="129" t="s">
        <v>911</v>
      </c>
      <c r="F211" s="129" t="s">
        <v>911</v>
      </c>
    </row>
    <row r="212" spans="2:6" ht="14.5">
      <c r="B212" s="127">
        <v>296</v>
      </c>
      <c r="D212" s="129" t="s">
        <v>439</v>
      </c>
      <c r="E212" s="129" t="s">
        <v>912</v>
      </c>
      <c r="F212" s="129" t="s">
        <v>912</v>
      </c>
    </row>
    <row r="213" spans="2:6" ht="14.5">
      <c r="B213" s="127">
        <v>297</v>
      </c>
      <c r="D213" s="129" t="s">
        <v>111</v>
      </c>
      <c r="E213" s="129" t="s">
        <v>913</v>
      </c>
      <c r="F213" s="129" t="s">
        <v>913</v>
      </c>
    </row>
    <row r="214" spans="2:6" ht="14.5">
      <c r="B214" s="127">
        <v>298</v>
      </c>
      <c r="C214" s="128" t="s">
        <v>500</v>
      </c>
      <c r="D214" s="129" t="s">
        <v>536</v>
      </c>
      <c r="E214" s="129" t="s">
        <v>914</v>
      </c>
      <c r="F214" s="129" t="s">
        <v>914</v>
      </c>
    </row>
    <row r="215" spans="2:6" ht="14.5">
      <c r="B215" s="127">
        <v>299</v>
      </c>
      <c r="D215" s="129" t="s">
        <v>555</v>
      </c>
      <c r="E215" s="129" t="s">
        <v>915</v>
      </c>
      <c r="F215" s="129" t="s">
        <v>915</v>
      </c>
    </row>
    <row r="216" spans="2:6" ht="14.5">
      <c r="B216" s="127">
        <v>300</v>
      </c>
      <c r="D216" s="129" t="s">
        <v>433</v>
      </c>
      <c r="E216" s="129" t="s">
        <v>916</v>
      </c>
      <c r="F216" s="129" t="s">
        <v>916</v>
      </c>
    </row>
    <row r="217" spans="2:6" ht="14.5">
      <c r="B217" s="127">
        <v>301</v>
      </c>
      <c r="D217" s="129" t="s">
        <v>472</v>
      </c>
      <c r="E217" s="129" t="s">
        <v>917</v>
      </c>
      <c r="F217" s="129" t="s">
        <v>917</v>
      </c>
    </row>
    <row r="218" spans="2:6" ht="14.5">
      <c r="B218" s="127">
        <v>302</v>
      </c>
      <c r="C218" s="128" t="s">
        <v>500</v>
      </c>
      <c r="D218" s="134" t="s">
        <v>588</v>
      </c>
      <c r="E218" s="134" t="s">
        <v>918</v>
      </c>
      <c r="F218" s="134" t="s">
        <v>918</v>
      </c>
    </row>
    <row r="219" spans="2:6" ht="14.5">
      <c r="B219" s="127">
        <v>303</v>
      </c>
      <c r="C219" s="128" t="s">
        <v>500</v>
      </c>
      <c r="D219" s="134" t="s">
        <v>508</v>
      </c>
      <c r="E219" s="134" t="s">
        <v>919</v>
      </c>
      <c r="F219" s="134" t="s">
        <v>919</v>
      </c>
    </row>
    <row r="220" spans="2:6" ht="14.5">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9">
      <c r="B239" s="127">
        <v>323</v>
      </c>
      <c r="D239" s="129" t="s">
        <v>112</v>
      </c>
      <c r="E239" s="129" t="s">
        <v>921</v>
      </c>
      <c r="F239" s="129" t="s">
        <v>921</v>
      </c>
    </row>
    <row r="240" spans="2:6" ht="29">
      <c r="B240" s="127">
        <v>324</v>
      </c>
      <c r="D240" s="129" t="s">
        <v>113</v>
      </c>
      <c r="E240" s="129" t="s">
        <v>922</v>
      </c>
      <c r="F240" s="129" t="s">
        <v>922</v>
      </c>
    </row>
    <row r="241" spans="2:6" ht="29">
      <c r="B241" s="127">
        <v>325</v>
      </c>
      <c r="D241" s="129" t="s">
        <v>114</v>
      </c>
      <c r="E241" s="129" t="s">
        <v>923</v>
      </c>
      <c r="F241" s="129" t="s">
        <v>923</v>
      </c>
    </row>
    <row r="242" spans="2:6" ht="24">
      <c r="B242" s="127">
        <v>326</v>
      </c>
      <c r="C242" s="128" t="s">
        <v>500</v>
      </c>
      <c r="D242" s="129" t="s">
        <v>537</v>
      </c>
      <c r="E242" s="129" t="s">
        <v>924</v>
      </c>
      <c r="F242" s="129" t="s">
        <v>924</v>
      </c>
    </row>
    <row r="243" spans="2:6" ht="14.5">
      <c r="B243" s="127">
        <v>327</v>
      </c>
      <c r="D243" s="129" t="s">
        <v>115</v>
      </c>
      <c r="E243" s="129" t="s">
        <v>925</v>
      </c>
      <c r="F243" s="129" t="s">
        <v>925</v>
      </c>
    </row>
    <row r="244" spans="2:6" ht="14.5">
      <c r="B244" s="127">
        <v>328</v>
      </c>
      <c r="C244" s="128" t="s">
        <v>451</v>
      </c>
      <c r="D244" s="129" t="s">
        <v>461</v>
      </c>
      <c r="E244" s="129" t="s">
        <v>926</v>
      </c>
      <c r="F244" s="129" t="s">
        <v>926</v>
      </c>
    </row>
    <row r="245" spans="2:6" ht="14.5">
      <c r="B245" s="127">
        <v>329</v>
      </c>
      <c r="D245" s="129" t="s">
        <v>116</v>
      </c>
      <c r="E245" s="129" t="s">
        <v>927</v>
      </c>
      <c r="F245" s="129" t="s">
        <v>927</v>
      </c>
    </row>
    <row r="246" spans="2:6" ht="14.5">
      <c r="B246" s="127">
        <v>330</v>
      </c>
      <c r="D246" s="129" t="s">
        <v>117</v>
      </c>
      <c r="E246" s="129" t="s">
        <v>928</v>
      </c>
      <c r="F246" s="129" t="s">
        <v>928</v>
      </c>
    </row>
    <row r="247" spans="2:6" ht="14.5">
      <c r="B247" s="127">
        <v>331</v>
      </c>
      <c r="D247" s="129" t="s">
        <v>118</v>
      </c>
      <c r="E247" s="129" t="s">
        <v>929</v>
      </c>
      <c r="F247" s="129" t="s">
        <v>929</v>
      </c>
    </row>
    <row r="248" spans="2:6" ht="14.5">
      <c r="B248" s="127">
        <v>332</v>
      </c>
      <c r="C248" s="128" t="s">
        <v>451</v>
      </c>
      <c r="D248" s="126" t="s">
        <v>453</v>
      </c>
      <c r="E248" s="134" t="s">
        <v>930</v>
      </c>
      <c r="F248" s="134" t="s">
        <v>930</v>
      </c>
    </row>
    <row r="249" spans="2:6" ht="14.5">
      <c r="B249" s="127">
        <v>333</v>
      </c>
      <c r="C249" s="128" t="s">
        <v>451</v>
      </c>
      <c r="D249" s="126" t="s">
        <v>454</v>
      </c>
      <c r="E249" s="134" t="s">
        <v>931</v>
      </c>
      <c r="F249" s="134" t="s">
        <v>931</v>
      </c>
    </row>
    <row r="250" spans="2:6" ht="14.5">
      <c r="B250" s="127">
        <v>334</v>
      </c>
      <c r="D250" s="129" t="s">
        <v>119</v>
      </c>
      <c r="E250" s="129" t="s">
        <v>932</v>
      </c>
      <c r="F250" s="129" t="s">
        <v>932</v>
      </c>
    </row>
    <row r="251" spans="2:6" ht="14.5">
      <c r="B251" s="127">
        <v>335</v>
      </c>
      <c r="C251" s="128" t="s">
        <v>451</v>
      </c>
      <c r="D251" s="129" t="s">
        <v>459</v>
      </c>
      <c r="E251" s="129" t="s">
        <v>933</v>
      </c>
      <c r="F251" s="129" t="s">
        <v>933</v>
      </c>
    </row>
    <row r="252" spans="2:6" ht="14.5">
      <c r="B252" s="127">
        <v>336</v>
      </c>
      <c r="C252" s="128" t="s">
        <v>451</v>
      </c>
      <c r="D252" s="126" t="s">
        <v>462</v>
      </c>
      <c r="E252" s="134" t="s">
        <v>934</v>
      </c>
      <c r="F252" s="134" t="s">
        <v>934</v>
      </c>
    </row>
    <row r="253" spans="2:6" ht="29">
      <c r="B253" s="127">
        <v>337</v>
      </c>
      <c r="D253" s="129" t="s">
        <v>120</v>
      </c>
      <c r="E253" s="129" t="s">
        <v>935</v>
      </c>
      <c r="F253" s="129" t="s">
        <v>935</v>
      </c>
    </row>
    <row r="254" spans="2:6" ht="29">
      <c r="B254" s="127">
        <v>338</v>
      </c>
      <c r="D254" s="129" t="s">
        <v>121</v>
      </c>
      <c r="E254" s="129" t="s">
        <v>936</v>
      </c>
      <c r="F254" s="129" t="s">
        <v>936</v>
      </c>
    </row>
    <row r="255" spans="2:6" ht="14.5">
      <c r="B255" s="127">
        <v>339</v>
      </c>
      <c r="D255" s="129" t="s">
        <v>122</v>
      </c>
      <c r="E255" s="129" t="s">
        <v>937</v>
      </c>
      <c r="F255" s="129" t="s">
        <v>937</v>
      </c>
    </row>
    <row r="256" spans="2:6" ht="14.5">
      <c r="B256" s="127">
        <v>340</v>
      </c>
      <c r="D256" s="129" t="s">
        <v>123</v>
      </c>
      <c r="E256" s="129" t="s">
        <v>938</v>
      </c>
      <c r="F256" s="129" t="s">
        <v>938</v>
      </c>
    </row>
    <row r="257" spans="2:6" ht="14.5">
      <c r="B257" s="127">
        <v>341</v>
      </c>
      <c r="D257" s="129" t="s">
        <v>124</v>
      </c>
      <c r="E257" s="129" t="s">
        <v>939</v>
      </c>
      <c r="F257" s="129" t="s">
        <v>939</v>
      </c>
    </row>
    <row r="258" spans="2:6" ht="14.5">
      <c r="B258" s="127">
        <v>342</v>
      </c>
      <c r="D258" s="129" t="s">
        <v>125</v>
      </c>
      <c r="E258" s="129" t="s">
        <v>940</v>
      </c>
      <c r="F258" s="129" t="s">
        <v>940</v>
      </c>
    </row>
    <row r="259" spans="2:6" ht="14.5">
      <c r="B259" s="127">
        <v>343</v>
      </c>
      <c r="C259" s="128" t="s">
        <v>500</v>
      </c>
      <c r="D259" s="129" t="s">
        <v>522</v>
      </c>
      <c r="E259" s="129" t="s">
        <v>941</v>
      </c>
      <c r="F259" s="129" t="s">
        <v>941</v>
      </c>
    </row>
    <row r="260" spans="2:6" ht="14.5">
      <c r="B260" s="127">
        <v>344</v>
      </c>
      <c r="C260" s="128" t="s">
        <v>500</v>
      </c>
      <c r="D260" s="129" t="s">
        <v>524</v>
      </c>
      <c r="E260" s="129" t="s">
        <v>942</v>
      </c>
      <c r="F260" s="129" t="s">
        <v>942</v>
      </c>
    </row>
    <row r="261" spans="2:6" ht="14.5">
      <c r="B261" s="127">
        <v>345</v>
      </c>
      <c r="D261" s="129" t="s">
        <v>126</v>
      </c>
      <c r="E261" s="129" t="s">
        <v>943</v>
      </c>
      <c r="F261" s="129" t="s">
        <v>943</v>
      </c>
    </row>
    <row r="262" spans="2:6" ht="29">
      <c r="B262" s="127">
        <v>346</v>
      </c>
      <c r="C262" s="128" t="s">
        <v>500</v>
      </c>
      <c r="D262" s="129" t="s">
        <v>532</v>
      </c>
      <c r="E262" s="129" t="s">
        <v>944</v>
      </c>
      <c r="F262" s="129" t="s">
        <v>944</v>
      </c>
    </row>
    <row r="263" spans="2:6" ht="14.5">
      <c r="B263" s="127">
        <v>347</v>
      </c>
      <c r="D263" s="129" t="s">
        <v>365</v>
      </c>
      <c r="E263" s="129" t="s">
        <v>945</v>
      </c>
      <c r="F263" s="129" t="s">
        <v>945</v>
      </c>
    </row>
    <row r="264" spans="2:6" ht="14.5">
      <c r="B264" s="127">
        <v>348</v>
      </c>
      <c r="D264" s="129" t="s">
        <v>127</v>
      </c>
      <c r="E264" s="129" t="s">
        <v>946</v>
      </c>
      <c r="F264" s="129" t="s">
        <v>946</v>
      </c>
    </row>
    <row r="265" spans="2:6" ht="14.5">
      <c r="B265" s="127">
        <v>349</v>
      </c>
      <c r="D265" s="129" t="s">
        <v>366</v>
      </c>
      <c r="E265" s="129" t="s">
        <v>947</v>
      </c>
      <c r="F265" s="129" t="s">
        <v>947</v>
      </c>
    </row>
    <row r="266" spans="2:6" ht="14.5">
      <c r="B266" s="127">
        <v>350</v>
      </c>
      <c r="C266" s="128" t="s">
        <v>500</v>
      </c>
      <c r="D266" s="129" t="s">
        <v>523</v>
      </c>
      <c r="E266" s="129" t="s">
        <v>948</v>
      </c>
      <c r="F266" s="129" t="s">
        <v>948</v>
      </c>
    </row>
    <row r="267" spans="2:6" ht="14.5">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ht="14.5">
      <c r="B270" s="127">
        <v>354</v>
      </c>
      <c r="D270" s="129" t="s">
        <v>129</v>
      </c>
      <c r="E270" s="129" t="s">
        <v>951</v>
      </c>
      <c r="F270" s="129" t="s">
        <v>951</v>
      </c>
    </row>
    <row r="271" spans="2:6" ht="14.5">
      <c r="B271" s="127">
        <v>355</v>
      </c>
      <c r="D271" s="129" t="s">
        <v>130</v>
      </c>
      <c r="E271" s="129" t="s">
        <v>952</v>
      </c>
      <c r="F271" s="129" t="s">
        <v>952</v>
      </c>
    </row>
    <row r="272" spans="2:6" ht="14.5">
      <c r="B272" s="127">
        <v>356</v>
      </c>
      <c r="D272" s="129" t="s">
        <v>131</v>
      </c>
      <c r="E272" s="129" t="s">
        <v>953</v>
      </c>
      <c r="F272" s="129" t="s">
        <v>953</v>
      </c>
    </row>
    <row r="273" spans="2:6" ht="14.5">
      <c r="B273" s="127">
        <v>357</v>
      </c>
      <c r="C273" s="128" t="s">
        <v>500</v>
      </c>
      <c r="D273" s="129" t="s">
        <v>518</v>
      </c>
      <c r="E273" s="129" t="s">
        <v>954</v>
      </c>
      <c r="F273" s="129" t="s">
        <v>954</v>
      </c>
    </row>
    <row r="274" spans="2:6" ht="14.5">
      <c r="B274" s="127">
        <v>358</v>
      </c>
      <c r="D274" s="129" t="s">
        <v>132</v>
      </c>
      <c r="E274" s="129" t="s">
        <v>955</v>
      </c>
      <c r="F274" s="129" t="s">
        <v>955</v>
      </c>
    </row>
    <row r="275" spans="2:6" ht="14.5">
      <c r="B275" s="127">
        <v>359</v>
      </c>
      <c r="D275" s="129" t="s">
        <v>367</v>
      </c>
      <c r="E275" s="129" t="s">
        <v>956</v>
      </c>
      <c r="F275" s="129" t="s">
        <v>956</v>
      </c>
    </row>
    <row r="276" spans="2:6" ht="14.5">
      <c r="B276" s="127">
        <v>360</v>
      </c>
      <c r="D276" s="129" t="s">
        <v>133</v>
      </c>
      <c r="E276" s="129" t="s">
        <v>957</v>
      </c>
      <c r="F276" s="129" t="s">
        <v>957</v>
      </c>
    </row>
    <row r="277" spans="2:6" ht="29">
      <c r="B277" s="127">
        <v>361</v>
      </c>
      <c r="C277" s="128" t="s">
        <v>500</v>
      </c>
      <c r="D277" s="129" t="s">
        <v>514</v>
      </c>
      <c r="E277" s="129" t="s">
        <v>958</v>
      </c>
      <c r="F277" s="129" t="s">
        <v>958</v>
      </c>
    </row>
    <row r="278" spans="2:6" ht="43.5">
      <c r="B278" s="127">
        <v>362</v>
      </c>
      <c r="C278" s="128" t="s">
        <v>500</v>
      </c>
      <c r="D278" s="129" t="s">
        <v>529</v>
      </c>
      <c r="E278" s="129" t="s">
        <v>959</v>
      </c>
      <c r="F278" s="129" t="s">
        <v>959</v>
      </c>
    </row>
    <row r="279" spans="2:6" ht="14.5">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ht="14.5">
      <c r="B282" s="127">
        <v>366</v>
      </c>
      <c r="D282" s="129" t="s">
        <v>440</v>
      </c>
      <c r="E282" s="129" t="s">
        <v>961</v>
      </c>
      <c r="F282" s="129" t="s">
        <v>961</v>
      </c>
    </row>
    <row r="283" spans="2:6">
      <c r="B283" s="127">
        <v>367</v>
      </c>
      <c r="D283" s="129" t="s">
        <v>135</v>
      </c>
      <c r="E283" s="129" t="s">
        <v>136</v>
      </c>
      <c r="F283" s="129" t="s">
        <v>136</v>
      </c>
    </row>
    <row r="284" spans="2:6" ht="14.5">
      <c r="B284" s="127">
        <v>368</v>
      </c>
      <c r="D284" s="129" t="s">
        <v>563</v>
      </c>
      <c r="E284" s="129" t="s">
        <v>962</v>
      </c>
      <c r="F284" s="129" t="s">
        <v>962</v>
      </c>
    </row>
    <row r="285" spans="2:6">
      <c r="B285" s="127">
        <v>369</v>
      </c>
      <c r="D285" s="129" t="s">
        <v>137</v>
      </c>
      <c r="E285" s="129" t="s">
        <v>424</v>
      </c>
      <c r="F285" s="129" t="s">
        <v>424</v>
      </c>
    </row>
    <row r="286" spans="2:6" ht="14.5">
      <c r="B286" s="127">
        <v>370</v>
      </c>
      <c r="D286" s="129" t="s">
        <v>138</v>
      </c>
      <c r="E286" s="129" t="s">
        <v>963</v>
      </c>
      <c r="F286" s="129" t="s">
        <v>963</v>
      </c>
    </row>
    <row r="287" spans="2:6" ht="14.5">
      <c r="B287" s="127">
        <v>371</v>
      </c>
      <c r="D287" s="129" t="s">
        <v>139</v>
      </c>
      <c r="E287" s="129" t="s">
        <v>964</v>
      </c>
      <c r="F287" s="129" t="s">
        <v>964</v>
      </c>
    </row>
    <row r="288" spans="2:6" ht="14.5">
      <c r="B288" s="127">
        <v>372</v>
      </c>
      <c r="D288" s="129" t="s">
        <v>368</v>
      </c>
      <c r="E288" s="129" t="s">
        <v>965</v>
      </c>
      <c r="F288" s="129" t="s">
        <v>965</v>
      </c>
    </row>
    <row r="289" spans="2:6" ht="14.5">
      <c r="B289" s="127">
        <v>373</v>
      </c>
      <c r="D289" s="129" t="s">
        <v>369</v>
      </c>
      <c r="E289" s="129" t="s">
        <v>966</v>
      </c>
      <c r="F289" s="129" t="s">
        <v>966</v>
      </c>
    </row>
    <row r="290" spans="2:6" ht="14.5">
      <c r="B290" s="127">
        <v>374</v>
      </c>
      <c r="D290" s="129" t="s">
        <v>370</v>
      </c>
      <c r="E290" s="129" t="s">
        <v>965</v>
      </c>
      <c r="F290" s="129" t="s">
        <v>965</v>
      </c>
    </row>
    <row r="291" spans="2:6" ht="14.5">
      <c r="B291" s="127">
        <v>375</v>
      </c>
      <c r="C291" s="128" t="s">
        <v>500</v>
      </c>
      <c r="D291" s="129" t="s">
        <v>506</v>
      </c>
      <c r="E291" s="129" t="s">
        <v>967</v>
      </c>
      <c r="F291" s="129" t="s">
        <v>967</v>
      </c>
    </row>
    <row r="292" spans="2:6" ht="14.5">
      <c r="B292" s="127">
        <v>376</v>
      </c>
      <c r="D292" s="129" t="s">
        <v>140</v>
      </c>
      <c r="E292" s="129" t="s">
        <v>968</v>
      </c>
      <c r="F292" s="129" t="s">
        <v>968</v>
      </c>
    </row>
    <row r="293" spans="2:6" ht="14.5">
      <c r="B293" s="127">
        <v>377</v>
      </c>
      <c r="D293" s="129" t="s">
        <v>371</v>
      </c>
      <c r="E293" s="129" t="s">
        <v>969</v>
      </c>
      <c r="F293" s="129" t="s">
        <v>969</v>
      </c>
    </row>
    <row r="294" spans="2:6" ht="14.5">
      <c r="B294" s="127">
        <v>378</v>
      </c>
      <c r="D294" s="129" t="s">
        <v>141</v>
      </c>
      <c r="E294" s="129" t="s">
        <v>970</v>
      </c>
      <c r="F294" s="129" t="s">
        <v>970</v>
      </c>
    </row>
    <row r="295" spans="2:6" ht="14.5">
      <c r="B295" s="127">
        <v>379</v>
      </c>
      <c r="C295" s="128" t="s">
        <v>451</v>
      </c>
      <c r="D295" s="126" t="s">
        <v>463</v>
      </c>
      <c r="E295" s="134" t="s">
        <v>971</v>
      </c>
      <c r="F295" s="134" t="s">
        <v>971</v>
      </c>
    </row>
    <row r="296" spans="2:6" ht="14.5">
      <c r="B296" s="127">
        <v>380</v>
      </c>
      <c r="D296" s="129" t="s">
        <v>400</v>
      </c>
      <c r="E296" s="129" t="s">
        <v>972</v>
      </c>
      <c r="F296" s="129" t="s">
        <v>972</v>
      </c>
    </row>
    <row r="297" spans="2:6" ht="14.5">
      <c r="B297" s="127">
        <v>381</v>
      </c>
      <c r="D297" s="129" t="s">
        <v>401</v>
      </c>
      <c r="E297" s="129" t="s">
        <v>973</v>
      </c>
      <c r="F297" s="129" t="s">
        <v>973</v>
      </c>
    </row>
    <row r="298" spans="2:6" ht="14.5">
      <c r="B298" s="127">
        <v>382</v>
      </c>
      <c r="C298" s="128" t="s">
        <v>469</v>
      </c>
      <c r="D298" s="129" t="s">
        <v>470</v>
      </c>
      <c r="E298" s="129" t="s">
        <v>974</v>
      </c>
      <c r="F298" s="129" t="s">
        <v>974</v>
      </c>
    </row>
    <row r="299" spans="2:6" ht="14.5">
      <c r="B299" s="127">
        <v>383</v>
      </c>
      <c r="D299" s="129" t="s">
        <v>142</v>
      </c>
      <c r="E299" s="129" t="s">
        <v>975</v>
      </c>
      <c r="F299" s="129" t="s">
        <v>975</v>
      </c>
    </row>
    <row r="300" spans="2:6" ht="14.5">
      <c r="B300" s="127">
        <v>384</v>
      </c>
      <c r="D300" s="129" t="s">
        <v>372</v>
      </c>
      <c r="E300" s="129" t="s">
        <v>976</v>
      </c>
      <c r="F300" s="129" t="s">
        <v>976</v>
      </c>
    </row>
    <row r="301" spans="2:6" ht="14.5">
      <c r="B301" s="127">
        <v>385</v>
      </c>
      <c r="D301" s="129" t="s">
        <v>143</v>
      </c>
      <c r="E301" s="129" t="s">
        <v>977</v>
      </c>
      <c r="F301" s="129" t="s">
        <v>977</v>
      </c>
    </row>
    <row r="302" spans="2:6" ht="14.5">
      <c r="B302" s="127">
        <v>386</v>
      </c>
      <c r="D302" s="129" t="s">
        <v>144</v>
      </c>
      <c r="E302" s="129" t="s">
        <v>978</v>
      </c>
      <c r="F302" s="129" t="s">
        <v>978</v>
      </c>
    </row>
    <row r="303" spans="2:6" ht="14.5">
      <c r="B303" s="127">
        <v>387</v>
      </c>
      <c r="D303" s="129" t="s">
        <v>145</v>
      </c>
      <c r="E303" s="129" t="s">
        <v>979</v>
      </c>
      <c r="F303" s="129" t="s">
        <v>979</v>
      </c>
    </row>
    <row r="304" spans="2:6" ht="14.5">
      <c r="B304" s="127">
        <v>388</v>
      </c>
      <c r="D304" s="129" t="s">
        <v>458</v>
      </c>
      <c r="E304" s="129" t="s">
        <v>980</v>
      </c>
      <c r="F304" s="129" t="s">
        <v>980</v>
      </c>
    </row>
    <row r="305" spans="2:6" ht="24">
      <c r="B305" s="127">
        <v>389</v>
      </c>
      <c r="D305" s="129" t="s">
        <v>146</v>
      </c>
      <c r="E305" s="129" t="s">
        <v>981</v>
      </c>
      <c r="F305" s="129" t="s">
        <v>981</v>
      </c>
    </row>
    <row r="306" spans="2:6" ht="14.5">
      <c r="B306" s="127">
        <v>390</v>
      </c>
      <c r="D306" s="129" t="s">
        <v>573</v>
      </c>
      <c r="E306" s="129" t="s">
        <v>982</v>
      </c>
      <c r="F306" s="129" t="s">
        <v>982</v>
      </c>
    </row>
    <row r="307" spans="2:6" ht="29">
      <c r="B307" s="127">
        <v>391</v>
      </c>
      <c r="D307" s="129" t="s">
        <v>402</v>
      </c>
      <c r="E307" s="129" t="s">
        <v>983</v>
      </c>
      <c r="F307" s="129" t="s">
        <v>983</v>
      </c>
    </row>
    <row r="308" spans="2:6" ht="14.5">
      <c r="B308" s="127">
        <v>392</v>
      </c>
      <c r="D308" s="129" t="s">
        <v>403</v>
      </c>
      <c r="E308" s="129" t="s">
        <v>984</v>
      </c>
      <c r="F308" s="129" t="s">
        <v>984</v>
      </c>
    </row>
    <row r="309" spans="2:6" ht="14.5">
      <c r="B309" s="127">
        <v>393</v>
      </c>
      <c r="D309" s="129" t="s">
        <v>373</v>
      </c>
      <c r="E309" s="129" t="s">
        <v>985</v>
      </c>
      <c r="F309" s="129" t="s">
        <v>985</v>
      </c>
    </row>
    <row r="310" spans="2:6" ht="14.5">
      <c r="B310" s="127">
        <v>394</v>
      </c>
      <c r="D310" s="129" t="s">
        <v>147</v>
      </c>
      <c r="E310" s="129" t="s">
        <v>986</v>
      </c>
      <c r="F310" s="129" t="s">
        <v>986</v>
      </c>
    </row>
    <row r="311" spans="2:6" ht="14.5">
      <c r="B311" s="127">
        <v>395</v>
      </c>
      <c r="D311" s="129" t="s">
        <v>374</v>
      </c>
      <c r="E311" s="129" t="s">
        <v>987</v>
      </c>
      <c r="F311" s="129" t="s">
        <v>987</v>
      </c>
    </row>
    <row r="312" spans="2:6" ht="14.5">
      <c r="B312" s="127">
        <v>396</v>
      </c>
      <c r="D312" s="129" t="s">
        <v>375</v>
      </c>
      <c r="E312" s="129" t="s">
        <v>988</v>
      </c>
      <c r="F312" s="129" t="s">
        <v>988</v>
      </c>
    </row>
    <row r="313" spans="2:6" ht="14.5">
      <c r="B313" s="127">
        <v>397</v>
      </c>
      <c r="D313" s="129" t="s">
        <v>148</v>
      </c>
      <c r="E313" s="129" t="s">
        <v>989</v>
      </c>
      <c r="F313" s="129" t="s">
        <v>989</v>
      </c>
    </row>
    <row r="314" spans="2:6" ht="14.5">
      <c r="B314" s="127">
        <v>398</v>
      </c>
      <c r="D314" s="129" t="s">
        <v>149</v>
      </c>
      <c r="E314" s="129" t="s">
        <v>990</v>
      </c>
      <c r="F314" s="129" t="s">
        <v>990</v>
      </c>
    </row>
    <row r="315" spans="2:6" ht="14.5">
      <c r="B315" s="127">
        <v>399</v>
      </c>
      <c r="D315" s="129" t="s">
        <v>376</v>
      </c>
      <c r="E315" s="129" t="s">
        <v>991</v>
      </c>
      <c r="F315" s="129" t="s">
        <v>991</v>
      </c>
    </row>
    <row r="316" spans="2:6" ht="14.5">
      <c r="B316" s="127">
        <v>400</v>
      </c>
      <c r="D316" s="129" t="s">
        <v>150</v>
      </c>
      <c r="E316" s="129" t="s">
        <v>992</v>
      </c>
      <c r="F316" s="129" t="s">
        <v>992</v>
      </c>
    </row>
    <row r="317" spans="2:6" ht="14.5">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ht="14.5">
      <c r="B320" s="127">
        <v>404</v>
      </c>
      <c r="D320" s="129" t="s">
        <v>152</v>
      </c>
      <c r="E320" s="145" t="s">
        <v>1376</v>
      </c>
      <c r="F320" s="145" t="s">
        <v>1376</v>
      </c>
    </row>
    <row r="321" spans="1:6">
      <c r="B321" s="127">
        <v>405</v>
      </c>
      <c r="D321" s="129" t="s">
        <v>153</v>
      </c>
      <c r="E321" s="129" t="s">
        <v>1339</v>
      </c>
      <c r="F321" s="129" t="s">
        <v>1339</v>
      </c>
    </row>
    <row r="322" spans="1:6" ht="14.5">
      <c r="B322" s="127">
        <v>406</v>
      </c>
      <c r="D322" s="129" t="s">
        <v>154</v>
      </c>
      <c r="E322" s="129" t="s">
        <v>994</v>
      </c>
      <c r="F322" s="129" t="s">
        <v>994</v>
      </c>
    </row>
    <row r="323" spans="1:6" ht="14.5">
      <c r="B323" s="127">
        <v>407</v>
      </c>
      <c r="C323" s="128" t="s">
        <v>451</v>
      </c>
      <c r="D323" s="126" t="s">
        <v>447</v>
      </c>
      <c r="E323" s="134" t="s">
        <v>995</v>
      </c>
      <c r="F323" s="134" t="s">
        <v>995</v>
      </c>
    </row>
    <row r="324" spans="1:6">
      <c r="B324" s="127">
        <v>408</v>
      </c>
      <c r="D324" s="129" t="s">
        <v>155</v>
      </c>
      <c r="E324" s="129" t="s">
        <v>1338</v>
      </c>
      <c r="F324" s="129" t="s">
        <v>1338</v>
      </c>
    </row>
    <row r="325" spans="1:6" ht="14.5">
      <c r="B325" s="127">
        <v>409</v>
      </c>
      <c r="C325" s="128" t="s">
        <v>451</v>
      </c>
      <c r="D325" s="129" t="s">
        <v>445</v>
      </c>
      <c r="E325" s="134" t="s">
        <v>996</v>
      </c>
      <c r="F325" s="134" t="s">
        <v>996</v>
      </c>
    </row>
    <row r="326" spans="1:6" ht="14.5">
      <c r="B326" s="127">
        <v>410</v>
      </c>
      <c r="D326" s="129" t="s">
        <v>156</v>
      </c>
      <c r="E326" s="129" t="s">
        <v>997</v>
      </c>
      <c r="F326" s="129" t="s">
        <v>997</v>
      </c>
    </row>
    <row r="327" spans="1:6" ht="36">
      <c r="B327" s="127">
        <v>411</v>
      </c>
      <c r="D327" s="129" t="s">
        <v>157</v>
      </c>
      <c r="E327" s="129" t="s">
        <v>1262</v>
      </c>
      <c r="F327" s="129" t="s">
        <v>1262</v>
      </c>
    </row>
    <row r="328" spans="1:6" ht="14.5">
      <c r="B328" s="127">
        <v>412</v>
      </c>
      <c r="D328" s="129" t="s">
        <v>158</v>
      </c>
      <c r="E328" s="129" t="s">
        <v>998</v>
      </c>
      <c r="F328" s="129" t="s">
        <v>998</v>
      </c>
    </row>
    <row r="329" spans="1:6" ht="14.5">
      <c r="B329" s="127">
        <v>413</v>
      </c>
      <c r="D329" s="129" t="s">
        <v>481</v>
      </c>
      <c r="E329" s="129" t="s">
        <v>999</v>
      </c>
      <c r="F329" s="129" t="s">
        <v>999</v>
      </c>
    </row>
    <row r="330" spans="1:6" ht="26.5">
      <c r="B330" s="127">
        <v>414</v>
      </c>
      <c r="D330" s="129" t="s">
        <v>1361</v>
      </c>
      <c r="E330" s="145" t="s">
        <v>1377</v>
      </c>
      <c r="F330" s="145" t="s">
        <v>1377</v>
      </c>
    </row>
    <row r="331" spans="1:6">
      <c r="B331" s="127">
        <v>415</v>
      </c>
      <c r="D331" s="129" t="s">
        <v>482</v>
      </c>
      <c r="E331" s="129" t="s">
        <v>1340</v>
      </c>
      <c r="F331" s="129" t="s">
        <v>1340</v>
      </c>
    </row>
    <row r="332" spans="1:6" ht="14.5">
      <c r="B332" s="127">
        <v>416</v>
      </c>
      <c r="D332" s="129" t="s">
        <v>480</v>
      </c>
      <c r="E332" s="129" t="s">
        <v>1000</v>
      </c>
      <c r="F332" s="129" t="s">
        <v>1000</v>
      </c>
    </row>
    <row r="333" spans="1:6" ht="14.5">
      <c r="A333" s="131"/>
      <c r="B333" s="127">
        <v>417</v>
      </c>
      <c r="C333" s="132" t="s">
        <v>399</v>
      </c>
      <c r="D333" s="130" t="s">
        <v>426</v>
      </c>
      <c r="E333" s="130" t="s">
        <v>1001</v>
      </c>
      <c r="F333" s="130" t="s">
        <v>1001</v>
      </c>
    </row>
    <row r="334" spans="1:6" ht="14.5">
      <c r="A334" s="131"/>
      <c r="B334" s="127">
        <v>418</v>
      </c>
      <c r="C334" s="132" t="s">
        <v>399</v>
      </c>
      <c r="D334" s="130" t="s">
        <v>427</v>
      </c>
      <c r="E334" s="130" t="s">
        <v>1002</v>
      </c>
      <c r="F334" s="130" t="s">
        <v>1002</v>
      </c>
    </row>
    <row r="335" spans="1:6" ht="14.5">
      <c r="A335" s="131"/>
      <c r="B335" s="127">
        <v>419</v>
      </c>
      <c r="C335" s="132" t="s">
        <v>399</v>
      </c>
      <c r="D335" s="130" t="s">
        <v>428</v>
      </c>
      <c r="E335" s="130" t="s">
        <v>1003</v>
      </c>
      <c r="F335" s="130" t="s">
        <v>1003</v>
      </c>
    </row>
    <row r="336" spans="1:6" ht="14.5">
      <c r="B336" s="127">
        <v>420</v>
      </c>
      <c r="D336" s="129" t="s">
        <v>159</v>
      </c>
      <c r="E336" s="129" t="s">
        <v>1001</v>
      </c>
      <c r="F336" s="129" t="s">
        <v>1001</v>
      </c>
    </row>
    <row r="337" spans="2:6" ht="14.5">
      <c r="B337" s="127">
        <v>421</v>
      </c>
      <c r="D337" s="129" t="s">
        <v>160</v>
      </c>
      <c r="E337" s="130" t="s">
        <v>1004</v>
      </c>
      <c r="F337" s="130" t="s">
        <v>1004</v>
      </c>
    </row>
    <row r="338" spans="2:6" ht="14.5">
      <c r="B338" s="127">
        <v>422</v>
      </c>
      <c r="D338" s="129" t="s">
        <v>161</v>
      </c>
      <c r="E338" s="129" t="s">
        <v>1005</v>
      </c>
      <c r="F338" s="129" t="s">
        <v>1005</v>
      </c>
    </row>
    <row r="339" spans="2:6" ht="14.5">
      <c r="B339" s="127">
        <v>423</v>
      </c>
      <c r="D339" s="129" t="s">
        <v>162</v>
      </c>
      <c r="E339" s="129" t="s">
        <v>1006</v>
      </c>
      <c r="F339" s="129" t="s">
        <v>1006</v>
      </c>
    </row>
    <row r="340" spans="2:6" ht="14.5">
      <c r="B340" s="127">
        <v>424</v>
      </c>
      <c r="D340" s="129" t="s">
        <v>163</v>
      </c>
      <c r="E340" s="129" t="s">
        <v>1007</v>
      </c>
      <c r="F340" s="129" t="s">
        <v>1007</v>
      </c>
    </row>
    <row r="341" spans="2:6" ht="14.5">
      <c r="B341" s="127">
        <v>425</v>
      </c>
      <c r="D341" s="129" t="s">
        <v>164</v>
      </c>
      <c r="E341" s="129" t="s">
        <v>1008</v>
      </c>
      <c r="F341" s="129" t="s">
        <v>1008</v>
      </c>
    </row>
    <row r="342" spans="2:6" ht="14.5">
      <c r="B342" s="127">
        <v>426</v>
      </c>
      <c r="D342" s="129" t="s">
        <v>165</v>
      </c>
      <c r="E342" s="129" t="s">
        <v>1009</v>
      </c>
      <c r="F342" s="129" t="s">
        <v>1009</v>
      </c>
    </row>
    <row r="343" spans="2:6" ht="14.5">
      <c r="B343" s="127">
        <v>427</v>
      </c>
      <c r="D343" s="129" t="s">
        <v>166</v>
      </c>
      <c r="E343" s="129" t="s">
        <v>1010</v>
      </c>
      <c r="F343" s="129" t="s">
        <v>1010</v>
      </c>
    </row>
    <row r="344" spans="2:6" ht="14.5">
      <c r="B344" s="127">
        <v>428</v>
      </c>
      <c r="D344" s="129" t="s">
        <v>167</v>
      </c>
      <c r="E344" s="129" t="s">
        <v>1011</v>
      </c>
      <c r="F344" s="129" t="s">
        <v>1011</v>
      </c>
    </row>
    <row r="345" spans="2:6" ht="14.5">
      <c r="B345" s="127">
        <v>429</v>
      </c>
      <c r="D345" s="129" t="s">
        <v>168</v>
      </c>
      <c r="E345" s="129" t="s">
        <v>1012</v>
      </c>
      <c r="F345" s="129" t="s">
        <v>1012</v>
      </c>
    </row>
    <row r="346" spans="2:6" ht="14.5">
      <c r="B346" s="127">
        <v>430</v>
      </c>
      <c r="D346" s="129" t="s">
        <v>169</v>
      </c>
      <c r="E346" s="129" t="s">
        <v>1013</v>
      </c>
      <c r="F346" s="129" t="s">
        <v>1013</v>
      </c>
    </row>
    <row r="347" spans="2:6" ht="14.5">
      <c r="B347" s="127">
        <v>431</v>
      </c>
      <c r="D347" s="129" t="s">
        <v>170</v>
      </c>
      <c r="E347" s="129" t="s">
        <v>1014</v>
      </c>
      <c r="F347" s="129" t="s">
        <v>1014</v>
      </c>
    </row>
    <row r="348" spans="2:6" ht="14.5">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ht="14.5">
      <c r="B353" s="127">
        <v>437</v>
      </c>
      <c r="D353" s="129" t="s">
        <v>174</v>
      </c>
      <c r="E353" s="129" t="s">
        <v>1016</v>
      </c>
      <c r="F353" s="129" t="s">
        <v>1016</v>
      </c>
    </row>
    <row r="354" spans="2:6" ht="14.5">
      <c r="B354" s="127">
        <v>438</v>
      </c>
      <c r="D354" s="129" t="s">
        <v>175</v>
      </c>
      <c r="E354" s="129" t="s">
        <v>1017</v>
      </c>
      <c r="F354" s="129" t="s">
        <v>1017</v>
      </c>
    </row>
    <row r="355" spans="2:6" ht="14.5">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ht="14.5">
      <c r="B362" s="127">
        <v>446</v>
      </c>
      <c r="D362" s="129" t="s">
        <v>554</v>
      </c>
      <c r="E362" s="129" t="s">
        <v>1019</v>
      </c>
      <c r="F362" s="129" t="s">
        <v>1019</v>
      </c>
    </row>
    <row r="363" spans="2:6" ht="14.5">
      <c r="B363" s="127">
        <v>447</v>
      </c>
      <c r="C363" s="128" t="s">
        <v>451</v>
      </c>
      <c r="D363" s="129" t="s">
        <v>456</v>
      </c>
      <c r="E363" s="129" t="s">
        <v>1020</v>
      </c>
      <c r="F363" s="129" t="s">
        <v>1020</v>
      </c>
    </row>
    <row r="364" spans="2:6" ht="14.5">
      <c r="B364" s="127">
        <v>448</v>
      </c>
      <c r="D364" s="129" t="s">
        <v>179</v>
      </c>
      <c r="E364" s="129" t="s">
        <v>1021</v>
      </c>
      <c r="F364" s="129" t="s">
        <v>1021</v>
      </c>
    </row>
    <row r="365" spans="2:6" ht="29">
      <c r="B365" s="127">
        <v>449</v>
      </c>
      <c r="D365" s="129" t="s">
        <v>180</v>
      </c>
      <c r="E365" s="129" t="s">
        <v>1022</v>
      </c>
      <c r="F365" s="129" t="s">
        <v>1022</v>
      </c>
    </row>
    <row r="366" spans="2:6" ht="14.5">
      <c r="B366" s="127">
        <v>450</v>
      </c>
      <c r="D366" s="129" t="s">
        <v>181</v>
      </c>
      <c r="E366" s="129" t="s">
        <v>1023</v>
      </c>
      <c r="F366" s="129" t="s">
        <v>1023</v>
      </c>
    </row>
    <row r="367" spans="2:6" ht="14.5">
      <c r="B367" s="127">
        <v>451</v>
      </c>
      <c r="D367" s="129" t="s">
        <v>559</v>
      </c>
      <c r="E367" s="129" t="s">
        <v>1024</v>
      </c>
      <c r="F367" s="129" t="s">
        <v>1024</v>
      </c>
    </row>
    <row r="368" spans="2:6" ht="29">
      <c r="B368" s="127">
        <v>452</v>
      </c>
      <c r="D368" s="129" t="s">
        <v>182</v>
      </c>
      <c r="E368" s="129" t="s">
        <v>1025</v>
      </c>
      <c r="F368" s="129" t="s">
        <v>1025</v>
      </c>
    </row>
    <row r="369" spans="2:6" ht="14.5">
      <c r="B369" s="127">
        <v>453</v>
      </c>
      <c r="D369" s="130" t="s">
        <v>429</v>
      </c>
      <c r="E369" s="129" t="s">
        <v>834</v>
      </c>
      <c r="F369" s="129" t="s">
        <v>834</v>
      </c>
    </row>
    <row r="370" spans="2:6" ht="14.5">
      <c r="B370" s="127">
        <v>454</v>
      </c>
      <c r="D370" s="129" t="s">
        <v>378</v>
      </c>
      <c r="E370" s="129" t="s">
        <v>1026</v>
      </c>
      <c r="F370" s="129" t="s">
        <v>1026</v>
      </c>
    </row>
    <row r="371" spans="2:6" ht="14.5">
      <c r="B371" s="127">
        <v>455</v>
      </c>
      <c r="D371" s="129" t="s">
        <v>183</v>
      </c>
      <c r="E371" s="129" t="s">
        <v>1027</v>
      </c>
      <c r="F371" s="129" t="s">
        <v>1027</v>
      </c>
    </row>
    <row r="372" spans="2:6" ht="14.5">
      <c r="B372" s="127">
        <v>456</v>
      </c>
      <c r="D372" s="129" t="s">
        <v>379</v>
      </c>
      <c r="E372" s="129" t="s">
        <v>1028</v>
      </c>
      <c r="F372" s="129" t="s">
        <v>1028</v>
      </c>
    </row>
    <row r="373" spans="2:6" ht="14.5">
      <c r="B373" s="127">
        <v>457</v>
      </c>
      <c r="D373" s="129" t="s">
        <v>184</v>
      </c>
      <c r="E373" s="129" t="s">
        <v>1029</v>
      </c>
      <c r="F373" s="129" t="s">
        <v>1029</v>
      </c>
    </row>
    <row r="374" spans="2:6" ht="14.5">
      <c r="B374" s="127">
        <v>458</v>
      </c>
      <c r="D374" s="129" t="s">
        <v>185</v>
      </c>
      <c r="E374" s="129" t="s">
        <v>1030</v>
      </c>
      <c r="F374" s="129" t="s">
        <v>1030</v>
      </c>
    </row>
    <row r="375" spans="2:6" ht="14.5">
      <c r="B375" s="127">
        <v>459</v>
      </c>
      <c r="C375" s="128" t="s">
        <v>500</v>
      </c>
      <c r="D375" s="129" t="s">
        <v>520</v>
      </c>
      <c r="E375" s="129" t="s">
        <v>1031</v>
      </c>
      <c r="F375" s="129" t="s">
        <v>1031</v>
      </c>
    </row>
    <row r="376" spans="2:6" ht="14.5">
      <c r="B376" s="127">
        <v>460</v>
      </c>
      <c r="D376" s="129" t="s">
        <v>186</v>
      </c>
      <c r="E376" s="129" t="s">
        <v>1031</v>
      </c>
      <c r="F376" s="129" t="s">
        <v>1031</v>
      </c>
    </row>
    <row r="377" spans="2:6" ht="14.5">
      <c r="B377" s="127">
        <v>461</v>
      </c>
      <c r="D377" s="129" t="s">
        <v>187</v>
      </c>
      <c r="E377" s="129" t="s">
        <v>1032</v>
      </c>
      <c r="F377" s="129" t="s">
        <v>1032</v>
      </c>
    </row>
    <row r="378" spans="2:6" ht="14.5">
      <c r="B378" s="127">
        <v>462</v>
      </c>
      <c r="D378" s="129" t="s">
        <v>577</v>
      </c>
      <c r="E378" s="129" t="s">
        <v>1033</v>
      </c>
      <c r="F378" s="129" t="s">
        <v>1033</v>
      </c>
    </row>
    <row r="379" spans="2:6" ht="14.5">
      <c r="B379" s="127">
        <v>463</v>
      </c>
      <c r="D379" s="129" t="s">
        <v>188</v>
      </c>
      <c r="E379" s="129" t="s">
        <v>1034</v>
      </c>
      <c r="F379" s="129" t="s">
        <v>1034</v>
      </c>
    </row>
    <row r="380" spans="2:6">
      <c r="B380" s="127">
        <v>464</v>
      </c>
      <c r="D380" s="129" t="s">
        <v>189</v>
      </c>
      <c r="F380" s="129"/>
    </row>
    <row r="381" spans="2:6" ht="14.5">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ht="14.5">
      <c r="B384" s="127">
        <v>468</v>
      </c>
      <c r="D384" s="129" t="s">
        <v>191</v>
      </c>
      <c r="E384" s="129" t="s">
        <v>1038</v>
      </c>
      <c r="F384" s="129" t="s">
        <v>1038</v>
      </c>
    </row>
    <row r="385" spans="2:6" ht="14.5">
      <c r="B385" s="127">
        <v>469</v>
      </c>
      <c r="D385" s="129" t="s">
        <v>192</v>
      </c>
      <c r="E385" s="129" t="s">
        <v>1039</v>
      </c>
      <c r="F385" s="129" t="s">
        <v>1039</v>
      </c>
    </row>
    <row r="386" spans="2:6" ht="14.5">
      <c r="B386" s="127">
        <v>470</v>
      </c>
      <c r="C386" s="128" t="s">
        <v>500</v>
      </c>
      <c r="D386" s="129" t="s">
        <v>513</v>
      </c>
      <c r="E386" s="129" t="s">
        <v>1040</v>
      </c>
      <c r="F386" s="129" t="s">
        <v>1040</v>
      </c>
    </row>
    <row r="387" spans="2:6" ht="14.5">
      <c r="B387" s="127">
        <v>471</v>
      </c>
      <c r="C387" s="128" t="s">
        <v>500</v>
      </c>
      <c r="D387" s="129" t="s">
        <v>517</v>
      </c>
      <c r="E387" s="129" t="s">
        <v>1041</v>
      </c>
      <c r="F387" s="129" t="s">
        <v>1041</v>
      </c>
    </row>
    <row r="388" spans="2:6" ht="14.5">
      <c r="B388" s="127">
        <v>472</v>
      </c>
      <c r="D388" s="129" t="s">
        <v>193</v>
      </c>
      <c r="E388" s="129" t="s">
        <v>1042</v>
      </c>
      <c r="F388" s="129" t="s">
        <v>1042</v>
      </c>
    </row>
    <row r="389" spans="2:6" ht="14.5">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ht="14.5">
      <c r="B392" s="127">
        <v>476</v>
      </c>
      <c r="D392" s="129" t="s">
        <v>194</v>
      </c>
      <c r="E392" s="129" t="s">
        <v>1044</v>
      </c>
      <c r="F392" s="129" t="s">
        <v>1044</v>
      </c>
    </row>
    <row r="393" spans="2:6" ht="14.5">
      <c r="B393" s="127">
        <v>477</v>
      </c>
      <c r="D393" s="129" t="s">
        <v>195</v>
      </c>
      <c r="E393" s="129" t="s">
        <v>1045</v>
      </c>
      <c r="F393" s="129" t="s">
        <v>1045</v>
      </c>
    </row>
    <row r="394" spans="2:6" ht="43.5">
      <c r="B394" s="127">
        <v>478</v>
      </c>
      <c r="C394" s="128" t="s">
        <v>500</v>
      </c>
      <c r="D394" s="129" t="s">
        <v>530</v>
      </c>
      <c r="E394" s="129" t="s">
        <v>1046</v>
      </c>
      <c r="F394" s="129" t="s">
        <v>1046</v>
      </c>
    </row>
    <row r="395" spans="2:6" ht="14.5">
      <c r="B395" s="127">
        <v>479</v>
      </c>
      <c r="D395" s="129" t="s">
        <v>196</v>
      </c>
      <c r="E395" s="129" t="s">
        <v>1047</v>
      </c>
      <c r="F395" s="129" t="s">
        <v>1047</v>
      </c>
    </row>
    <row r="396" spans="2:6" ht="14.5">
      <c r="B396" s="127">
        <v>480</v>
      </c>
      <c r="D396" s="129" t="s">
        <v>1240</v>
      </c>
      <c r="E396" s="129" t="s">
        <v>1048</v>
      </c>
      <c r="F396" s="129" t="s">
        <v>1048</v>
      </c>
    </row>
    <row r="397" spans="2:6" ht="14.5">
      <c r="B397" s="127">
        <v>481</v>
      </c>
      <c r="D397" s="129" t="s">
        <v>197</v>
      </c>
      <c r="E397" s="129" t="s">
        <v>1049</v>
      </c>
      <c r="F397" s="129" t="s">
        <v>1049</v>
      </c>
    </row>
    <row r="398" spans="2:6" ht="14.5">
      <c r="B398" s="127">
        <v>482</v>
      </c>
      <c r="D398" s="129" t="s">
        <v>198</v>
      </c>
      <c r="E398" s="129" t="s">
        <v>1050</v>
      </c>
      <c r="F398" s="129" t="s">
        <v>1050</v>
      </c>
    </row>
    <row r="399" spans="2:6" ht="14.5">
      <c r="B399" s="127">
        <v>483</v>
      </c>
      <c r="D399" s="129" t="s">
        <v>199</v>
      </c>
      <c r="E399" s="129" t="s">
        <v>1051</v>
      </c>
      <c r="F399" s="129" t="s">
        <v>1051</v>
      </c>
    </row>
    <row r="400" spans="2:6" ht="14.5">
      <c r="B400" s="127">
        <v>484</v>
      </c>
      <c r="D400" s="129" t="s">
        <v>200</v>
      </c>
      <c r="E400" s="129" t="s">
        <v>1052</v>
      </c>
      <c r="F400" s="129" t="s">
        <v>1052</v>
      </c>
    </row>
    <row r="401" spans="2:6" ht="29">
      <c r="B401" s="127">
        <v>485</v>
      </c>
      <c r="D401" s="129" t="s">
        <v>201</v>
      </c>
      <c r="E401" s="129" t="s">
        <v>1053</v>
      </c>
      <c r="F401" s="129" t="s">
        <v>1053</v>
      </c>
    </row>
    <row r="402" spans="2:6" ht="14.5">
      <c r="B402" s="127">
        <v>486</v>
      </c>
      <c r="D402" s="129" t="s">
        <v>580</v>
      </c>
      <c r="E402" s="129" t="s">
        <v>1054</v>
      </c>
      <c r="F402" s="129" t="s">
        <v>1054</v>
      </c>
    </row>
    <row r="403" spans="2:6" ht="14.5">
      <c r="B403" s="127">
        <v>487</v>
      </c>
      <c r="D403" s="129" t="s">
        <v>578</v>
      </c>
      <c r="E403" s="129" t="s">
        <v>1055</v>
      </c>
      <c r="F403" s="129" t="s">
        <v>1055</v>
      </c>
    </row>
    <row r="404" spans="2:6" ht="14.5">
      <c r="B404" s="127">
        <v>488</v>
      </c>
      <c r="D404" s="129" t="s">
        <v>579</v>
      </c>
      <c r="E404" s="129" t="s">
        <v>1056</v>
      </c>
      <c r="F404" s="129" t="s">
        <v>1056</v>
      </c>
    </row>
    <row r="405" spans="2:6" ht="14.5">
      <c r="B405" s="127">
        <v>489</v>
      </c>
      <c r="D405" s="129" t="s">
        <v>202</v>
      </c>
      <c r="E405" s="129" t="s">
        <v>1057</v>
      </c>
      <c r="F405" s="129" t="s">
        <v>1057</v>
      </c>
    </row>
    <row r="406" spans="2:6" ht="14.5">
      <c r="B406" s="127">
        <v>490</v>
      </c>
      <c r="C406" s="128" t="s">
        <v>451</v>
      </c>
      <c r="D406" s="129" t="s">
        <v>455</v>
      </c>
      <c r="E406" s="129" t="s">
        <v>1058</v>
      </c>
      <c r="F406" s="129" t="s">
        <v>1058</v>
      </c>
    </row>
    <row r="407" spans="2:6" ht="14.5">
      <c r="B407" s="127">
        <v>491</v>
      </c>
      <c r="D407" s="129" t="s">
        <v>203</v>
      </c>
      <c r="E407" s="129" t="s">
        <v>1059</v>
      </c>
      <c r="F407" s="129" t="s">
        <v>1059</v>
      </c>
    </row>
    <row r="408" spans="2:6" ht="14.5">
      <c r="B408" s="127">
        <v>492</v>
      </c>
      <c r="C408" s="128" t="s">
        <v>469</v>
      </c>
      <c r="D408" s="129" t="s">
        <v>467</v>
      </c>
      <c r="E408" s="129" t="s">
        <v>1060</v>
      </c>
      <c r="F408" s="129" t="s">
        <v>1060</v>
      </c>
    </row>
    <row r="409" spans="2:6" ht="14.5">
      <c r="B409" s="127">
        <v>493</v>
      </c>
      <c r="C409" s="128" t="s">
        <v>469</v>
      </c>
      <c r="D409" s="129" t="s">
        <v>466</v>
      </c>
      <c r="E409" s="129" t="s">
        <v>1061</v>
      </c>
      <c r="F409" s="129" t="s">
        <v>1061</v>
      </c>
    </row>
    <row r="410" spans="2:6" ht="14.5">
      <c r="B410" s="127">
        <v>494</v>
      </c>
      <c r="D410" s="129" t="s">
        <v>204</v>
      </c>
      <c r="E410" s="129" t="s">
        <v>1062</v>
      </c>
      <c r="F410" s="129" t="s">
        <v>1062</v>
      </c>
    </row>
    <row r="411" spans="2:6" ht="14.5">
      <c r="B411" s="127">
        <v>495</v>
      </c>
      <c r="D411" s="129" t="s">
        <v>205</v>
      </c>
      <c r="E411" s="129" t="s">
        <v>1063</v>
      </c>
      <c r="F411" s="129" t="s">
        <v>1063</v>
      </c>
    </row>
    <row r="412" spans="2:6" ht="14.5">
      <c r="B412" s="127">
        <v>496</v>
      </c>
      <c r="C412" s="128" t="s">
        <v>500</v>
      </c>
      <c r="D412" s="129" t="s">
        <v>606</v>
      </c>
      <c r="E412" s="129" t="s">
        <v>1064</v>
      </c>
      <c r="F412" s="129" t="s">
        <v>1064</v>
      </c>
    </row>
    <row r="413" spans="2:6" ht="14.5">
      <c r="B413" s="127">
        <v>497</v>
      </c>
      <c r="D413" s="129" t="s">
        <v>206</v>
      </c>
      <c r="E413" s="129" t="s">
        <v>1065</v>
      </c>
      <c r="F413" s="129" t="s">
        <v>1065</v>
      </c>
    </row>
    <row r="414" spans="2:6" ht="43.5">
      <c r="B414" s="127">
        <v>498</v>
      </c>
      <c r="D414" s="129" t="s">
        <v>207</v>
      </c>
      <c r="E414" s="129" t="s">
        <v>1066</v>
      </c>
      <c r="F414" s="129" t="s">
        <v>1066</v>
      </c>
    </row>
    <row r="415" spans="2:6" ht="14.5">
      <c r="B415" s="127">
        <v>499</v>
      </c>
      <c r="D415" s="129" t="s">
        <v>208</v>
      </c>
      <c r="E415" s="129" t="s">
        <v>1067</v>
      </c>
      <c r="F415" s="129" t="s">
        <v>1067</v>
      </c>
    </row>
    <row r="416" spans="2:6" ht="24">
      <c r="B416" s="127">
        <v>500</v>
      </c>
      <c r="D416" s="129" t="s">
        <v>209</v>
      </c>
      <c r="E416" s="129" t="s">
        <v>1312</v>
      </c>
      <c r="F416" s="129" t="s">
        <v>1312</v>
      </c>
    </row>
    <row r="417" spans="2:6">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9">
      <c r="B439" s="127">
        <v>523</v>
      </c>
      <c r="D439" s="129" t="s">
        <v>229</v>
      </c>
      <c r="E439" s="129" t="s">
        <v>1086</v>
      </c>
      <c r="F439" s="129" t="s">
        <v>1086</v>
      </c>
    </row>
    <row r="440" spans="1:27" ht="24">
      <c r="B440" s="127">
        <v>524</v>
      </c>
      <c r="D440" s="129" t="s">
        <v>230</v>
      </c>
      <c r="E440" s="129" t="s">
        <v>1087</v>
      </c>
      <c r="F440" s="129" t="s">
        <v>1087</v>
      </c>
    </row>
    <row r="441" spans="1:27" ht="29">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ht="14.5">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29">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ht="14.5">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43.5">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14.5">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9">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9">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ht="14.5">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ht="14.5">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ht="14.5">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ht="14.5">
      <c r="B457" s="127">
        <v>541</v>
      </c>
      <c r="D457" s="129" t="s">
        <v>245</v>
      </c>
      <c r="E457" s="129" t="s">
        <v>1103</v>
      </c>
      <c r="F457" s="129" t="s">
        <v>1103</v>
      </c>
    </row>
    <row r="458" spans="1:27" ht="14.5">
      <c r="B458" s="127">
        <v>542</v>
      </c>
      <c r="D458" s="129" t="s">
        <v>246</v>
      </c>
      <c r="E458" s="129" t="s">
        <v>1104</v>
      </c>
      <c r="F458" s="129" t="s">
        <v>1104</v>
      </c>
    </row>
    <row r="459" spans="1:27" ht="24">
      <c r="B459" s="127">
        <v>543</v>
      </c>
      <c r="D459" s="129" t="s">
        <v>385</v>
      </c>
      <c r="E459" s="129" t="s">
        <v>1105</v>
      </c>
      <c r="F459" s="129" t="s">
        <v>1105</v>
      </c>
    </row>
    <row r="460" spans="1:27" ht="43.5">
      <c r="A460" s="130"/>
      <c r="B460" s="127">
        <v>544</v>
      </c>
      <c r="C460" s="136" t="s">
        <v>417</v>
      </c>
      <c r="D460" s="130" t="s">
        <v>430</v>
      </c>
      <c r="E460" s="130" t="s">
        <v>1106</v>
      </c>
      <c r="F460" s="130" t="s">
        <v>1106</v>
      </c>
    </row>
    <row r="461" spans="1:27" ht="43.5">
      <c r="B461" s="127">
        <v>545</v>
      </c>
      <c r="D461" s="129" t="s">
        <v>247</v>
      </c>
      <c r="E461" s="129" t="s">
        <v>1107</v>
      </c>
      <c r="F461" s="129" t="s">
        <v>1107</v>
      </c>
    </row>
    <row r="462" spans="1:27" ht="14.5">
      <c r="B462" s="127">
        <v>546</v>
      </c>
      <c r="D462" s="129" t="s">
        <v>248</v>
      </c>
      <c r="E462" s="129" t="s">
        <v>1108</v>
      </c>
      <c r="F462" s="129" t="s">
        <v>1108</v>
      </c>
    </row>
    <row r="463" spans="1:27" ht="14.5">
      <c r="B463" s="127">
        <v>547</v>
      </c>
      <c r="D463" s="129" t="s">
        <v>249</v>
      </c>
      <c r="E463" s="129" t="s">
        <v>1109</v>
      </c>
      <c r="F463" s="129" t="s">
        <v>1109</v>
      </c>
    </row>
    <row r="464" spans="1:27" ht="14.5">
      <c r="B464" s="127">
        <v>548</v>
      </c>
      <c r="D464" s="129" t="s">
        <v>250</v>
      </c>
      <c r="E464" s="129" t="s">
        <v>1110</v>
      </c>
      <c r="F464" s="129" t="s">
        <v>1110</v>
      </c>
    </row>
    <row r="465" spans="2:6" ht="24">
      <c r="B465" s="127">
        <v>549</v>
      </c>
      <c r="D465" s="129" t="s">
        <v>464</v>
      </c>
      <c r="E465" s="129" t="s">
        <v>1111</v>
      </c>
      <c r="F465" s="129" t="s">
        <v>1111</v>
      </c>
    </row>
    <row r="466" spans="2:6" ht="14.5">
      <c r="B466" s="127">
        <v>550</v>
      </c>
      <c r="D466" s="129" t="s">
        <v>251</v>
      </c>
      <c r="E466" s="129" t="s">
        <v>1112</v>
      </c>
      <c r="F466" s="129" t="s">
        <v>1112</v>
      </c>
    </row>
    <row r="467" spans="2:6" ht="14.5">
      <c r="B467" s="127">
        <v>551</v>
      </c>
      <c r="D467" s="129" t="s">
        <v>252</v>
      </c>
      <c r="E467" s="129" t="s">
        <v>1113</v>
      </c>
      <c r="F467" s="129" t="s">
        <v>1113</v>
      </c>
    </row>
    <row r="468" spans="2:6" ht="14.5">
      <c r="B468" s="127">
        <v>552</v>
      </c>
      <c r="D468" s="129" t="s">
        <v>253</v>
      </c>
      <c r="E468" s="129" t="s">
        <v>1114</v>
      </c>
      <c r="F468" s="129" t="s">
        <v>1114</v>
      </c>
    </row>
    <row r="469" spans="2:6" ht="24">
      <c r="B469" s="127">
        <v>553</v>
      </c>
      <c r="D469" s="129" t="s">
        <v>560</v>
      </c>
      <c r="E469" s="129" t="s">
        <v>1115</v>
      </c>
      <c r="F469" s="129" t="s">
        <v>1115</v>
      </c>
    </row>
    <row r="470" spans="2:6" ht="14.5">
      <c r="B470" s="127">
        <v>554</v>
      </c>
      <c r="D470" s="129" t="s">
        <v>561</v>
      </c>
      <c r="E470" s="129" t="s">
        <v>1116</v>
      </c>
      <c r="F470" s="129" t="s">
        <v>1116</v>
      </c>
    </row>
    <row r="471" spans="2:6" ht="14.5">
      <c r="B471" s="127">
        <v>555</v>
      </c>
      <c r="D471" s="129" t="s">
        <v>254</v>
      </c>
      <c r="E471" s="129" t="s">
        <v>1117</v>
      </c>
      <c r="F471" s="129" t="s">
        <v>1117</v>
      </c>
    </row>
    <row r="472" spans="2:6" ht="14.5">
      <c r="B472" s="127">
        <v>556</v>
      </c>
      <c r="D472" s="129" t="s">
        <v>386</v>
      </c>
      <c r="E472" s="129" t="s">
        <v>1118</v>
      </c>
      <c r="F472" s="129" t="s">
        <v>1118</v>
      </c>
    </row>
    <row r="473" spans="2:6" ht="14.5">
      <c r="B473" s="127">
        <v>557</v>
      </c>
      <c r="D473" s="129" t="s">
        <v>255</v>
      </c>
      <c r="E473" s="129" t="s">
        <v>1119</v>
      </c>
      <c r="F473" s="129" t="s">
        <v>1119</v>
      </c>
    </row>
    <row r="474" spans="2:6" ht="24">
      <c r="B474" s="127">
        <v>558</v>
      </c>
      <c r="D474" s="129" t="s">
        <v>387</v>
      </c>
      <c r="E474" s="129" t="s">
        <v>1120</v>
      </c>
      <c r="F474" s="129" t="s">
        <v>1120</v>
      </c>
    </row>
    <row r="475" spans="2:6" ht="29">
      <c r="B475" s="127">
        <v>559</v>
      </c>
      <c r="D475" s="129" t="s">
        <v>256</v>
      </c>
      <c r="E475" s="129" t="s">
        <v>1121</v>
      </c>
      <c r="F475" s="129" t="s">
        <v>1121</v>
      </c>
    </row>
    <row r="476" spans="2:6" ht="14.5">
      <c r="B476" s="127">
        <v>560</v>
      </c>
      <c r="D476" s="129" t="s">
        <v>257</v>
      </c>
      <c r="E476" s="129" t="s">
        <v>1122</v>
      </c>
      <c r="F476" s="129" t="s">
        <v>1122</v>
      </c>
    </row>
    <row r="477" spans="2:6" ht="14.5">
      <c r="B477" s="127">
        <v>561</v>
      </c>
      <c r="C477" s="128" t="s">
        <v>469</v>
      </c>
      <c r="D477" s="129" t="s">
        <v>468</v>
      </c>
      <c r="E477" s="129" t="s">
        <v>1123</v>
      </c>
      <c r="F477" s="129" t="s">
        <v>1123</v>
      </c>
    </row>
    <row r="478" spans="2:6" ht="29">
      <c r="B478" s="127">
        <v>562</v>
      </c>
      <c r="C478" s="128" t="s">
        <v>469</v>
      </c>
      <c r="D478" s="129" t="s">
        <v>465</v>
      </c>
      <c r="E478" s="129" t="s">
        <v>1124</v>
      </c>
      <c r="F478" s="129" t="s">
        <v>1124</v>
      </c>
    </row>
    <row r="479" spans="2:6">
      <c r="B479" s="127">
        <v>563</v>
      </c>
      <c r="D479" s="129" t="s">
        <v>1271</v>
      </c>
      <c r="E479" s="129" t="s">
        <v>1264</v>
      </c>
      <c r="F479" s="129" t="s">
        <v>1264</v>
      </c>
    </row>
    <row r="480" spans="2:6" ht="14.5">
      <c r="B480" s="127">
        <v>564</v>
      </c>
      <c r="D480" s="129" t="s">
        <v>258</v>
      </c>
      <c r="E480" s="129" t="s">
        <v>1125</v>
      </c>
      <c r="F480" s="129" t="s">
        <v>1125</v>
      </c>
    </row>
    <row r="481" spans="2:6" ht="36">
      <c r="B481" s="127">
        <v>565</v>
      </c>
      <c r="D481" s="129" t="s">
        <v>322</v>
      </c>
      <c r="E481" s="129" t="s">
        <v>1126</v>
      </c>
      <c r="F481" s="129" t="s">
        <v>1126</v>
      </c>
    </row>
    <row r="482" spans="2:6" ht="14.5">
      <c r="B482" s="127">
        <v>566</v>
      </c>
      <c r="D482" s="129" t="s">
        <v>259</v>
      </c>
      <c r="E482" s="129" t="s">
        <v>1127</v>
      </c>
      <c r="F482" s="129" t="s">
        <v>1127</v>
      </c>
    </row>
    <row r="483" spans="2:6" ht="14.5">
      <c r="B483" s="127">
        <v>567</v>
      </c>
      <c r="D483" s="129" t="s">
        <v>260</v>
      </c>
      <c r="E483" s="129" t="s">
        <v>1128</v>
      </c>
      <c r="F483" s="129" t="s">
        <v>1128</v>
      </c>
    </row>
    <row r="484" spans="2:6" ht="14.5">
      <c r="B484" s="127">
        <v>568</v>
      </c>
      <c r="D484" s="129" t="s">
        <v>261</v>
      </c>
      <c r="E484" s="129" t="s">
        <v>1129</v>
      </c>
      <c r="F484" s="129" t="s">
        <v>1129</v>
      </c>
    </row>
    <row r="485" spans="2:6" ht="14.5">
      <c r="B485" s="127">
        <v>569</v>
      </c>
      <c r="D485" s="129" t="s">
        <v>262</v>
      </c>
      <c r="E485" s="129" t="s">
        <v>1130</v>
      </c>
      <c r="F485" s="129" t="s">
        <v>1130</v>
      </c>
    </row>
    <row r="486" spans="2:6" ht="14.5">
      <c r="B486" s="127">
        <v>570</v>
      </c>
      <c r="D486" s="129" t="s">
        <v>263</v>
      </c>
      <c r="E486" s="129" t="s">
        <v>1131</v>
      </c>
      <c r="F486" s="129" t="s">
        <v>1131</v>
      </c>
    </row>
    <row r="487" spans="2:6" ht="36">
      <c r="B487" s="127">
        <v>571</v>
      </c>
      <c r="D487" s="129" t="s">
        <v>264</v>
      </c>
      <c r="E487" s="129" t="s">
        <v>1316</v>
      </c>
      <c r="F487" s="129" t="s">
        <v>1316</v>
      </c>
    </row>
    <row r="488" spans="2:6" ht="14.5">
      <c r="B488" s="127">
        <v>572</v>
      </c>
      <c r="D488" s="129" t="s">
        <v>265</v>
      </c>
      <c r="E488" s="129" t="s">
        <v>1132</v>
      </c>
      <c r="F488" s="129" t="s">
        <v>1132</v>
      </c>
    </row>
    <row r="489" spans="2:6" ht="14.5">
      <c r="B489" s="127">
        <v>573</v>
      </c>
      <c r="D489" s="129" t="s">
        <v>266</v>
      </c>
      <c r="E489" s="129" t="s">
        <v>1133</v>
      </c>
      <c r="F489" s="129" t="s">
        <v>1133</v>
      </c>
    </row>
    <row r="490" spans="2:6" ht="14.5">
      <c r="B490" s="127">
        <v>574</v>
      </c>
      <c r="D490" s="129" t="s">
        <v>267</v>
      </c>
      <c r="E490" s="129" t="s">
        <v>1134</v>
      </c>
      <c r="F490" s="129" t="s">
        <v>1134</v>
      </c>
    </row>
    <row r="491" spans="2:6" ht="29">
      <c r="B491" s="127">
        <v>575</v>
      </c>
      <c r="D491" s="129" t="s">
        <v>388</v>
      </c>
      <c r="E491" s="129" t="s">
        <v>1135</v>
      </c>
      <c r="F491" s="129" t="s">
        <v>1135</v>
      </c>
    </row>
    <row r="492" spans="2:6" ht="14.5">
      <c r="B492" s="127">
        <v>576</v>
      </c>
      <c r="D492" s="129" t="s">
        <v>268</v>
      </c>
      <c r="E492" s="129" t="s">
        <v>1136</v>
      </c>
      <c r="F492" s="129" t="s">
        <v>1136</v>
      </c>
    </row>
    <row r="493" spans="2:6" ht="14.5">
      <c r="B493" s="127">
        <v>577</v>
      </c>
      <c r="D493" s="129" t="s">
        <v>269</v>
      </c>
      <c r="E493" s="129" t="s">
        <v>1137</v>
      </c>
      <c r="F493" s="129" t="s">
        <v>1137</v>
      </c>
    </row>
    <row r="494" spans="2:6" ht="14.5">
      <c r="B494" s="127">
        <v>578</v>
      </c>
      <c r="D494" s="129" t="s">
        <v>565</v>
      </c>
      <c r="E494" s="129" t="s">
        <v>1138</v>
      </c>
      <c r="F494" s="129" t="s">
        <v>1138</v>
      </c>
    </row>
    <row r="495" spans="2:6" ht="14.5">
      <c r="B495" s="127">
        <v>579</v>
      </c>
      <c r="D495" s="129" t="s">
        <v>564</v>
      </c>
      <c r="E495" s="129" t="s">
        <v>1139</v>
      </c>
      <c r="F495" s="129" t="s">
        <v>1139</v>
      </c>
    </row>
    <row r="496" spans="2:6" ht="14.5">
      <c r="B496" s="127">
        <v>580</v>
      </c>
      <c r="D496" s="129" t="s">
        <v>270</v>
      </c>
      <c r="E496" s="129" t="s">
        <v>1140</v>
      </c>
      <c r="F496" s="129" t="s">
        <v>1140</v>
      </c>
    </row>
    <row r="497" spans="1:6" ht="14.5">
      <c r="B497" s="127">
        <v>581</v>
      </c>
      <c r="D497" s="129" t="s">
        <v>389</v>
      </c>
      <c r="E497" s="129" t="s">
        <v>1141</v>
      </c>
      <c r="F497" s="129" t="s">
        <v>1141</v>
      </c>
    </row>
    <row r="498" spans="1:6" ht="43.5">
      <c r="B498" s="127">
        <v>582</v>
      </c>
      <c r="D498" s="129" t="s">
        <v>390</v>
      </c>
      <c r="E498" s="129" t="s">
        <v>1142</v>
      </c>
      <c r="F498" s="129" t="s">
        <v>1142</v>
      </c>
    </row>
    <row r="499" spans="1:6" ht="14.5">
      <c r="B499" s="127">
        <v>583</v>
      </c>
      <c r="D499" s="129" t="s">
        <v>271</v>
      </c>
      <c r="E499" s="129" t="s">
        <v>1143</v>
      </c>
      <c r="F499" s="129" t="s">
        <v>1143</v>
      </c>
    </row>
    <row r="500" spans="1:6" ht="14.5">
      <c r="B500" s="127">
        <v>584</v>
      </c>
      <c r="D500" s="129" t="s">
        <v>272</v>
      </c>
      <c r="E500" s="129" t="s">
        <v>1144</v>
      </c>
      <c r="F500" s="129" t="s">
        <v>1144</v>
      </c>
    </row>
    <row r="501" spans="1:6" ht="14.5">
      <c r="B501" s="127">
        <v>585</v>
      </c>
      <c r="C501" s="128" t="s">
        <v>451</v>
      </c>
      <c r="D501" s="126" t="s">
        <v>446</v>
      </c>
      <c r="E501" s="134" t="s">
        <v>1145</v>
      </c>
      <c r="F501" s="134" t="s">
        <v>1145</v>
      </c>
    </row>
    <row r="502" spans="1:6" ht="14.5">
      <c r="B502" s="127">
        <v>586</v>
      </c>
      <c r="C502" s="128" t="s">
        <v>451</v>
      </c>
      <c r="D502" s="129" t="s">
        <v>444</v>
      </c>
      <c r="E502" s="134" t="s">
        <v>1146</v>
      </c>
      <c r="F502" s="134" t="s">
        <v>1146</v>
      </c>
    </row>
    <row r="503" spans="1:6" ht="14.5">
      <c r="B503" s="127">
        <v>587</v>
      </c>
      <c r="D503" s="129" t="s">
        <v>273</v>
      </c>
      <c r="E503" s="129" t="s">
        <v>1147</v>
      </c>
      <c r="F503" s="129" t="s">
        <v>1147</v>
      </c>
    </row>
    <row r="504" spans="1:6" ht="36">
      <c r="B504" s="127">
        <v>588</v>
      </c>
      <c r="D504" s="129" t="s">
        <v>274</v>
      </c>
      <c r="E504" s="129" t="s">
        <v>1265</v>
      </c>
      <c r="F504" s="129" t="s">
        <v>1265</v>
      </c>
    </row>
    <row r="505" spans="1:6" ht="14.5">
      <c r="B505" s="127">
        <v>589</v>
      </c>
      <c r="D505" s="129" t="s">
        <v>275</v>
      </c>
      <c r="E505" s="129" t="s">
        <v>1148</v>
      </c>
      <c r="F505" s="129" t="s">
        <v>1148</v>
      </c>
    </row>
    <row r="506" spans="1:6" ht="14.5">
      <c r="A506" s="131"/>
      <c r="B506" s="127">
        <v>590</v>
      </c>
      <c r="C506" s="132" t="s">
        <v>399</v>
      </c>
      <c r="D506" s="130" t="s">
        <v>405</v>
      </c>
      <c r="E506" s="130" t="s">
        <v>1149</v>
      </c>
      <c r="F506" s="130" t="s">
        <v>1149</v>
      </c>
    </row>
    <row r="507" spans="1:6" ht="14.5">
      <c r="A507" s="131"/>
      <c r="B507" s="127">
        <v>591</v>
      </c>
      <c r="C507" s="132" t="s">
        <v>399</v>
      </c>
      <c r="D507" s="130" t="s">
        <v>431</v>
      </c>
      <c r="E507" s="130" t="s">
        <v>1150</v>
      </c>
      <c r="F507" s="130" t="s">
        <v>1150</v>
      </c>
    </row>
    <row r="508" spans="1:6" ht="14.5">
      <c r="B508" s="127">
        <v>592</v>
      </c>
      <c r="D508" s="129" t="s">
        <v>276</v>
      </c>
      <c r="E508" s="130" t="s">
        <v>1151</v>
      </c>
      <c r="F508" s="130" t="s">
        <v>1151</v>
      </c>
    </row>
    <row r="509" spans="1:6" ht="14.5">
      <c r="B509" s="127">
        <v>593</v>
      </c>
      <c r="D509" s="129" t="s">
        <v>277</v>
      </c>
      <c r="E509" s="129" t="s">
        <v>1152</v>
      </c>
      <c r="F509" s="129" t="s">
        <v>1152</v>
      </c>
    </row>
    <row r="510" spans="1:6" ht="14.5">
      <c r="B510" s="127">
        <v>594</v>
      </c>
      <c r="D510" s="129" t="s">
        <v>278</v>
      </c>
      <c r="E510" s="129" t="s">
        <v>1153</v>
      </c>
      <c r="F510" s="129" t="s">
        <v>1153</v>
      </c>
    </row>
    <row r="511" spans="1:6" ht="24">
      <c r="B511" s="127">
        <v>595</v>
      </c>
      <c r="D511" s="129" t="s">
        <v>279</v>
      </c>
      <c r="E511" s="129" t="s">
        <v>1317</v>
      </c>
      <c r="F511" s="129" t="s">
        <v>1317</v>
      </c>
    </row>
    <row r="512" spans="1:6" ht="14.5">
      <c r="B512" s="127">
        <v>596</v>
      </c>
      <c r="D512" s="129" t="s">
        <v>280</v>
      </c>
      <c r="E512" s="129" t="s">
        <v>1154</v>
      </c>
      <c r="F512" s="129" t="s">
        <v>1154</v>
      </c>
    </row>
    <row r="513" spans="2:6" ht="36">
      <c r="B513" s="127">
        <v>597</v>
      </c>
      <c r="D513" s="129" t="s">
        <v>281</v>
      </c>
      <c r="E513" s="129" t="s">
        <v>1155</v>
      </c>
      <c r="F513" s="129" t="s">
        <v>1155</v>
      </c>
    </row>
    <row r="514" spans="2:6" ht="14.5">
      <c r="B514" s="127">
        <v>598</v>
      </c>
      <c r="D514" s="129" t="s">
        <v>282</v>
      </c>
      <c r="E514" s="129" t="s">
        <v>1156</v>
      </c>
      <c r="F514" s="129" t="s">
        <v>1156</v>
      </c>
    </row>
    <row r="515" spans="2:6" ht="14.5">
      <c r="B515" s="127">
        <v>599</v>
      </c>
      <c r="D515" s="129" t="s">
        <v>283</v>
      </c>
      <c r="E515" s="129" t="s">
        <v>1157</v>
      </c>
      <c r="F515" s="129" t="s">
        <v>1157</v>
      </c>
    </row>
    <row r="516" spans="2:6" ht="14.5">
      <c r="B516" s="127">
        <v>600</v>
      </c>
      <c r="D516" s="129" t="s">
        <v>284</v>
      </c>
      <c r="E516" s="129" t="s">
        <v>1158</v>
      </c>
      <c r="F516" s="129" t="s">
        <v>1158</v>
      </c>
    </row>
    <row r="517" spans="2:6" ht="14.5">
      <c r="B517" s="127">
        <v>601</v>
      </c>
      <c r="D517" s="129" t="s">
        <v>285</v>
      </c>
      <c r="E517" s="129" t="s">
        <v>1159</v>
      </c>
      <c r="F517" s="129" t="s">
        <v>1159</v>
      </c>
    </row>
    <row r="518" spans="2:6" ht="14.5">
      <c r="B518" s="127">
        <v>602</v>
      </c>
      <c r="D518" s="129" t="s">
        <v>286</v>
      </c>
      <c r="E518" s="129" t="s">
        <v>1160</v>
      </c>
      <c r="F518" s="129" t="s">
        <v>1160</v>
      </c>
    </row>
    <row r="519" spans="2:6" ht="14.5">
      <c r="B519" s="127">
        <v>603</v>
      </c>
      <c r="D519" s="129" t="s">
        <v>287</v>
      </c>
      <c r="E519" s="129" t="s">
        <v>1161</v>
      </c>
      <c r="F519" s="129" t="s">
        <v>1161</v>
      </c>
    </row>
    <row r="520" spans="2:6">
      <c r="B520" s="127">
        <v>604</v>
      </c>
      <c r="D520" s="129" t="s">
        <v>288</v>
      </c>
      <c r="E520" s="129" t="s">
        <v>288</v>
      </c>
      <c r="F520" s="129" t="s">
        <v>288</v>
      </c>
    </row>
    <row r="521" spans="2:6" ht="14.5">
      <c r="B521" s="127">
        <v>605</v>
      </c>
      <c r="D521" s="129" t="s">
        <v>391</v>
      </c>
      <c r="E521" s="129" t="s">
        <v>1162</v>
      </c>
      <c r="F521" s="129" t="s">
        <v>1162</v>
      </c>
    </row>
    <row r="522" spans="2:6" ht="29">
      <c r="B522" s="127">
        <v>606</v>
      </c>
      <c r="D522" s="129" t="s">
        <v>289</v>
      </c>
      <c r="E522" s="129" t="s">
        <v>1163</v>
      </c>
      <c r="F522" s="129" t="s">
        <v>1163</v>
      </c>
    </row>
    <row r="523" spans="2:6">
      <c r="B523" s="127">
        <v>607</v>
      </c>
      <c r="D523" s="129" t="s">
        <v>290</v>
      </c>
      <c r="E523" s="129" t="s">
        <v>290</v>
      </c>
      <c r="F523" s="129" t="s">
        <v>290</v>
      </c>
    </row>
    <row r="524" spans="2:6" ht="14.5">
      <c r="B524" s="127">
        <v>608</v>
      </c>
      <c r="D524" s="129" t="s">
        <v>552</v>
      </c>
      <c r="E524" s="129" t="s">
        <v>1164</v>
      </c>
      <c r="F524" s="129" t="s">
        <v>1164</v>
      </c>
    </row>
    <row r="525" spans="2:6" ht="14.5">
      <c r="B525" s="127">
        <v>609</v>
      </c>
      <c r="D525" s="129" t="s">
        <v>551</v>
      </c>
      <c r="E525" s="129" t="s">
        <v>1165</v>
      </c>
      <c r="F525" s="129" t="s">
        <v>1165</v>
      </c>
    </row>
    <row r="526" spans="2:6">
      <c r="B526" s="127">
        <v>610</v>
      </c>
      <c r="D526" s="129" t="s">
        <v>392</v>
      </c>
      <c r="F526" s="129"/>
    </row>
    <row r="527" spans="2:6" ht="14.5">
      <c r="B527" s="127">
        <v>611</v>
      </c>
      <c r="D527" s="129" t="s">
        <v>291</v>
      </c>
      <c r="E527" s="129" t="s">
        <v>1166</v>
      </c>
      <c r="F527" s="129" t="s">
        <v>1166</v>
      </c>
    </row>
    <row r="528" spans="2:6" ht="14.5">
      <c r="B528" s="127">
        <v>612</v>
      </c>
      <c r="C528" s="128" t="s">
        <v>469</v>
      </c>
      <c r="D528" s="129" t="s">
        <v>471</v>
      </c>
      <c r="E528" s="129" t="s">
        <v>1167</v>
      </c>
      <c r="F528" s="129" t="s">
        <v>1167</v>
      </c>
    </row>
    <row r="529" spans="2:6" ht="14.5">
      <c r="B529" s="127">
        <v>613</v>
      </c>
      <c r="D529" s="129" t="s">
        <v>393</v>
      </c>
      <c r="E529" s="129" t="s">
        <v>1168</v>
      </c>
      <c r="F529" s="129" t="s">
        <v>1168</v>
      </c>
    </row>
    <row r="530" spans="2:6" ht="14.5">
      <c r="B530" s="127">
        <v>614</v>
      </c>
      <c r="D530" s="129" t="s">
        <v>394</v>
      </c>
      <c r="E530" s="129" t="s">
        <v>1169</v>
      </c>
      <c r="F530" s="129" t="s">
        <v>1169</v>
      </c>
    </row>
    <row r="531" spans="2:6" ht="14.5">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ht="14.5">
      <c r="B535" s="127">
        <v>619</v>
      </c>
      <c r="D535" s="129" t="s">
        <v>571</v>
      </c>
      <c r="E535" s="129" t="s">
        <v>1170</v>
      </c>
      <c r="F535" s="129" t="s">
        <v>1170</v>
      </c>
    </row>
    <row r="536" spans="2:6" ht="14.5">
      <c r="B536" s="127">
        <v>620</v>
      </c>
      <c r="D536" s="129" t="s">
        <v>570</v>
      </c>
      <c r="E536" s="129" t="s">
        <v>1171</v>
      </c>
      <c r="F536" s="129" t="s">
        <v>1171</v>
      </c>
    </row>
    <row r="537" spans="2:6" ht="24">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ht="14.5">
      <c r="B539" s="127">
        <v>623</v>
      </c>
      <c r="D539" s="129" t="s">
        <v>292</v>
      </c>
      <c r="E539" s="129" t="s">
        <v>1172</v>
      </c>
      <c r="F539" s="129" t="s">
        <v>1172</v>
      </c>
    </row>
    <row r="540" spans="2:6" ht="14.5">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ht="14.5">
      <c r="B545" s="127">
        <v>629</v>
      </c>
      <c r="D545" s="129" t="s">
        <v>295</v>
      </c>
      <c r="E545" s="129" t="s">
        <v>1174</v>
      </c>
      <c r="F545" s="129" t="s">
        <v>1174</v>
      </c>
    </row>
    <row r="546" spans="1:6" ht="14.5">
      <c r="B546" s="127">
        <v>630</v>
      </c>
      <c r="D546" s="129" t="s">
        <v>396</v>
      </c>
      <c r="E546" s="129" t="s">
        <v>1175</v>
      </c>
      <c r="F546" s="129" t="s">
        <v>1175</v>
      </c>
    </row>
    <row r="547" spans="1:6" ht="14.5">
      <c r="B547" s="127">
        <v>631</v>
      </c>
      <c r="D547" s="129" t="s">
        <v>296</v>
      </c>
      <c r="E547" s="129" t="s">
        <v>1176</v>
      </c>
      <c r="F547" s="129" t="s">
        <v>1176</v>
      </c>
    </row>
    <row r="548" spans="1:6" ht="14.5">
      <c r="B548" s="127">
        <v>632</v>
      </c>
      <c r="D548" s="129" t="s">
        <v>325</v>
      </c>
      <c r="E548" s="129" t="s">
        <v>1177</v>
      </c>
      <c r="F548" s="129" t="s">
        <v>1177</v>
      </c>
    </row>
    <row r="549" spans="1:6" ht="14.5">
      <c r="B549" s="127">
        <v>633</v>
      </c>
      <c r="D549" s="129" t="s">
        <v>297</v>
      </c>
      <c r="E549" s="129" t="s">
        <v>1442</v>
      </c>
      <c r="F549" s="129" t="s">
        <v>1442</v>
      </c>
    </row>
    <row r="550" spans="1:6" ht="29">
      <c r="A550" s="130"/>
      <c r="B550" s="127">
        <v>634</v>
      </c>
      <c r="C550" s="130"/>
      <c r="D550" s="130" t="s">
        <v>432</v>
      </c>
      <c r="E550" s="130" t="s">
        <v>1178</v>
      </c>
      <c r="F550" s="130" t="s">
        <v>1178</v>
      </c>
    </row>
    <row r="551" spans="1:6" ht="14.5">
      <c r="B551" s="127">
        <v>635</v>
      </c>
      <c r="C551" s="128" t="s">
        <v>500</v>
      </c>
      <c r="D551" s="129" t="s">
        <v>507</v>
      </c>
      <c r="E551" s="129" t="s">
        <v>1179</v>
      </c>
      <c r="F551" s="129" t="s">
        <v>1179</v>
      </c>
    </row>
    <row r="552" spans="1:6" ht="14.5">
      <c r="B552" s="127">
        <v>636</v>
      </c>
      <c r="C552" s="128" t="s">
        <v>500</v>
      </c>
      <c r="D552" s="129" t="s">
        <v>595</v>
      </c>
      <c r="E552" s="129" t="s">
        <v>1180</v>
      </c>
      <c r="F552" s="129" t="s">
        <v>1180</v>
      </c>
    </row>
    <row r="553" spans="1:6">
      <c r="B553" s="127">
        <v>637</v>
      </c>
      <c r="D553" s="129" t="s">
        <v>298</v>
      </c>
      <c r="E553" s="129" t="s">
        <v>298</v>
      </c>
      <c r="F553" s="129" t="s">
        <v>298</v>
      </c>
    </row>
    <row r="554" spans="1:6" ht="14.5">
      <c r="B554" s="127">
        <v>638</v>
      </c>
      <c r="D554" s="129" t="s">
        <v>299</v>
      </c>
      <c r="E554" s="129" t="s">
        <v>1181</v>
      </c>
      <c r="F554" s="129" t="s">
        <v>1181</v>
      </c>
    </row>
    <row r="555" spans="1:6" ht="14.5">
      <c r="B555" s="127">
        <v>639</v>
      </c>
      <c r="D555" s="129" t="s">
        <v>300</v>
      </c>
      <c r="E555" s="129" t="s">
        <v>1182</v>
      </c>
      <c r="F555" s="129" t="s">
        <v>1182</v>
      </c>
    </row>
    <row r="556" spans="1:6" ht="14.5">
      <c r="B556" s="127">
        <v>640</v>
      </c>
      <c r="D556" s="129" t="s">
        <v>397</v>
      </c>
      <c r="E556" s="129" t="s">
        <v>1183</v>
      </c>
      <c r="F556" s="129" t="s">
        <v>1183</v>
      </c>
    </row>
    <row r="557" spans="1:6" ht="24">
      <c r="B557" s="127">
        <v>641</v>
      </c>
      <c r="C557" s="128" t="s">
        <v>500</v>
      </c>
      <c r="D557" s="129" t="s">
        <v>526</v>
      </c>
      <c r="E557" s="129" t="s">
        <v>1184</v>
      </c>
      <c r="F557" s="129" t="s">
        <v>1184</v>
      </c>
    </row>
    <row r="558" spans="1:6" ht="14.5">
      <c r="B558" s="127">
        <v>642</v>
      </c>
      <c r="D558" s="129" t="s">
        <v>301</v>
      </c>
      <c r="E558" s="129" t="s">
        <v>1185</v>
      </c>
      <c r="F558" s="129" t="s">
        <v>1185</v>
      </c>
    </row>
    <row r="559" spans="1:6" ht="43.5">
      <c r="B559" s="127">
        <v>643</v>
      </c>
      <c r="C559" s="128" t="s">
        <v>500</v>
      </c>
      <c r="D559" s="129" t="s">
        <v>533</v>
      </c>
      <c r="E559" s="129" t="s">
        <v>1186</v>
      </c>
      <c r="F559" s="129" t="s">
        <v>1186</v>
      </c>
    </row>
    <row r="560" spans="1:6" ht="14.5">
      <c r="B560" s="127">
        <v>644</v>
      </c>
      <c r="D560" s="129" t="s">
        <v>302</v>
      </c>
      <c r="E560" s="129" t="s">
        <v>1187</v>
      </c>
      <c r="F560" s="129" t="s">
        <v>1187</v>
      </c>
    </row>
    <row r="561" spans="2:27" ht="14.5">
      <c r="B561" s="127">
        <v>645</v>
      </c>
      <c r="D561" s="129" t="s">
        <v>303</v>
      </c>
      <c r="E561" s="129" t="s">
        <v>1188</v>
      </c>
      <c r="F561" s="129" t="s">
        <v>1188</v>
      </c>
    </row>
    <row r="562" spans="2:27" ht="14.5">
      <c r="B562" s="127">
        <v>646</v>
      </c>
      <c r="D562" s="129" t="s">
        <v>398</v>
      </c>
      <c r="E562" s="129" t="s">
        <v>1189</v>
      </c>
      <c r="F562" s="129" t="s">
        <v>1189</v>
      </c>
    </row>
    <row r="563" spans="2:27" ht="29">
      <c r="B563" s="127">
        <v>647</v>
      </c>
      <c r="D563" s="129" t="s">
        <v>304</v>
      </c>
      <c r="E563" s="129" t="s">
        <v>1190</v>
      </c>
      <c r="F563" s="129" t="s">
        <v>1190</v>
      </c>
    </row>
    <row r="564" spans="2:27" ht="14.5">
      <c r="B564" s="127">
        <v>648</v>
      </c>
      <c r="D564" s="129" t="s">
        <v>305</v>
      </c>
      <c r="E564" s="129" t="s">
        <v>1188</v>
      </c>
      <c r="F564" s="129" t="s">
        <v>1188</v>
      </c>
    </row>
    <row r="565" spans="2:27" ht="14.5">
      <c r="B565" s="127">
        <v>649</v>
      </c>
      <c r="D565" s="129" t="s">
        <v>306</v>
      </c>
      <c r="E565" s="129" t="s">
        <v>1191</v>
      </c>
      <c r="F565" s="129" t="s">
        <v>1191</v>
      </c>
    </row>
    <row r="566" spans="2:27" ht="14.5">
      <c r="B566" s="127">
        <v>650</v>
      </c>
      <c r="D566" s="129" t="s">
        <v>307</v>
      </c>
      <c r="E566" s="129" t="s">
        <v>1192</v>
      </c>
      <c r="F566" s="129" t="s">
        <v>1192</v>
      </c>
    </row>
    <row r="567" spans="2:27" ht="14.5">
      <c r="B567" s="127">
        <v>651</v>
      </c>
      <c r="D567" s="129" t="s">
        <v>308</v>
      </c>
      <c r="E567" s="129" t="s">
        <v>1193</v>
      </c>
      <c r="F567" s="129" t="s">
        <v>1193</v>
      </c>
    </row>
    <row r="568" spans="2:27" ht="14.5">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14.5">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ht="14.5">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c r="B571" s="127">
        <v>655</v>
      </c>
      <c r="C571" s="128" t="s">
        <v>500</v>
      </c>
      <c r="D571" s="129" t="s">
        <v>527</v>
      </c>
      <c r="E571" s="129" t="s">
        <v>1320</v>
      </c>
      <c r="F571" s="129" t="s">
        <v>1320</v>
      </c>
    </row>
    <row r="572" spans="2:27" ht="29">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43.5">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ht="14.5">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43.5">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ht="14.5">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ht="14.5">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ht="14.5">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ht="14.5">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ht="14.5">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ht="14.5">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ht="14.5">
      <c r="B582" s="127">
        <v>666</v>
      </c>
      <c r="D582" s="129" t="s">
        <v>603</v>
      </c>
      <c r="E582" s="129" t="s">
        <v>1206</v>
      </c>
      <c r="F582" s="129" t="s">
        <v>1206</v>
      </c>
    </row>
    <row r="583" spans="2:27" ht="14.5">
      <c r="B583" s="127">
        <v>667</v>
      </c>
      <c r="D583" s="129" t="s">
        <v>604</v>
      </c>
      <c r="E583" s="129" t="s">
        <v>1207</v>
      </c>
      <c r="F583" s="129" t="s">
        <v>1207</v>
      </c>
    </row>
    <row r="584" spans="2:27" ht="14.5">
      <c r="B584" s="127">
        <v>668</v>
      </c>
      <c r="D584" s="129" t="s">
        <v>596</v>
      </c>
      <c r="E584" s="129" t="s">
        <v>1208</v>
      </c>
      <c r="F584" s="129" t="s">
        <v>1208</v>
      </c>
    </row>
    <row r="585" spans="2:27" ht="14.5">
      <c r="B585" s="127">
        <v>669</v>
      </c>
      <c r="D585" s="129" t="s">
        <v>602</v>
      </c>
      <c r="E585" s="129" t="s">
        <v>1209</v>
      </c>
      <c r="F585" s="129" t="s">
        <v>1209</v>
      </c>
    </row>
    <row r="586" spans="2:27" ht="14.5">
      <c r="B586" s="127">
        <v>670</v>
      </c>
      <c r="D586" s="129" t="s">
        <v>599</v>
      </c>
      <c r="E586" s="129" t="s">
        <v>1210</v>
      </c>
      <c r="F586" s="129" t="s">
        <v>1210</v>
      </c>
    </row>
    <row r="587" spans="2:27" ht="14.5">
      <c r="B587" s="127">
        <v>671</v>
      </c>
      <c r="D587" s="129" t="s">
        <v>600</v>
      </c>
      <c r="E587" s="129" t="s">
        <v>1211</v>
      </c>
      <c r="F587" s="129" t="s">
        <v>1211</v>
      </c>
    </row>
    <row r="588" spans="2:27" ht="14.5">
      <c r="B588" s="127">
        <v>672</v>
      </c>
      <c r="D588" s="129" t="s">
        <v>601</v>
      </c>
      <c r="E588" s="129" t="s">
        <v>1212</v>
      </c>
      <c r="F588" s="129" t="s">
        <v>1212</v>
      </c>
    </row>
    <row r="589" spans="2:27" ht="14.5">
      <c r="B589" s="127">
        <v>673</v>
      </c>
      <c r="D589" s="129" t="s">
        <v>605</v>
      </c>
      <c r="E589" s="129" t="s">
        <v>1213</v>
      </c>
      <c r="F589" s="129" t="s">
        <v>1213</v>
      </c>
    </row>
    <row r="590" spans="2:27" ht="14.5">
      <c r="B590" s="127">
        <v>674</v>
      </c>
      <c r="D590" s="129" t="s">
        <v>689</v>
      </c>
      <c r="E590" s="129" t="s">
        <v>1214</v>
      </c>
      <c r="F590" s="129" t="s">
        <v>1214</v>
      </c>
    </row>
    <row r="591" spans="2:27" ht="14.5">
      <c r="B591" s="127">
        <v>675</v>
      </c>
      <c r="D591" s="129" t="s">
        <v>691</v>
      </c>
      <c r="E591" s="129" t="s">
        <v>1215</v>
      </c>
      <c r="F591" s="129" t="s">
        <v>1215</v>
      </c>
    </row>
    <row r="592" spans="2:27" ht="14.5">
      <c r="B592" s="127">
        <v>676</v>
      </c>
      <c r="D592" s="129" t="s">
        <v>692</v>
      </c>
      <c r="E592" s="129" t="s">
        <v>1216</v>
      </c>
      <c r="F592" s="129" t="s">
        <v>1216</v>
      </c>
    </row>
    <row r="593" spans="2:6" ht="14.5">
      <c r="B593" s="127">
        <v>677</v>
      </c>
      <c r="D593" s="129" t="s">
        <v>693</v>
      </c>
      <c r="E593" s="129" t="s">
        <v>1217</v>
      </c>
      <c r="F593" s="126" t="s">
        <v>1217</v>
      </c>
    </row>
    <row r="594" spans="2:6" ht="14.5">
      <c r="B594" s="127">
        <v>678</v>
      </c>
      <c r="D594" s="129" t="s">
        <v>694</v>
      </c>
      <c r="E594" s="129" t="s">
        <v>1218</v>
      </c>
      <c r="F594" s="129" t="s">
        <v>1218</v>
      </c>
    </row>
    <row r="595" spans="2:6" ht="14.5">
      <c r="B595" s="127">
        <v>679</v>
      </c>
      <c r="D595" s="129" t="s">
        <v>1219</v>
      </c>
      <c r="E595" s="129" t="s">
        <v>1220</v>
      </c>
      <c r="F595" s="129" t="s">
        <v>1220</v>
      </c>
    </row>
    <row r="596" spans="2:6" ht="14.5">
      <c r="B596" s="127">
        <v>680</v>
      </c>
      <c r="D596" s="129" t="s">
        <v>1221</v>
      </c>
      <c r="E596" s="144" t="s">
        <v>1223</v>
      </c>
      <c r="F596" s="144" t="s">
        <v>1223</v>
      </c>
    </row>
    <row r="597" spans="2:6" ht="14.5">
      <c r="B597" s="127">
        <v>681</v>
      </c>
      <c r="D597" s="129" t="s">
        <v>1222</v>
      </c>
      <c r="E597" s="144" t="s">
        <v>1224</v>
      </c>
      <c r="F597" s="144" t="s">
        <v>1224</v>
      </c>
    </row>
    <row r="598" spans="2:6" ht="13">
      <c r="B598" s="127">
        <v>682</v>
      </c>
      <c r="D598" s="129" t="s">
        <v>1234</v>
      </c>
      <c r="E598" s="146" t="s">
        <v>1235</v>
      </c>
      <c r="F598" s="146" t="s">
        <v>1235</v>
      </c>
    </row>
    <row r="599" spans="2:6" ht="13">
      <c r="B599" s="127">
        <v>683</v>
      </c>
      <c r="D599" s="129" t="s">
        <v>1236</v>
      </c>
      <c r="E599" s="146" t="s">
        <v>1238</v>
      </c>
      <c r="F599" s="146" t="s">
        <v>1238</v>
      </c>
    </row>
    <row r="600" spans="2:6">
      <c r="B600" s="127">
        <v>684</v>
      </c>
      <c r="D600" s="129" t="s">
        <v>1300</v>
      </c>
      <c r="E600" s="129" t="s">
        <v>1237</v>
      </c>
      <c r="F600" s="129" t="s">
        <v>1237</v>
      </c>
    </row>
    <row r="601" spans="2:6" ht="14.5">
      <c r="B601" s="127">
        <v>685</v>
      </c>
      <c r="D601" s="129" t="s">
        <v>1241</v>
      </c>
      <c r="E601" s="145" t="s">
        <v>1242</v>
      </c>
      <c r="F601" s="145" t="s">
        <v>1242</v>
      </c>
    </row>
    <row r="602" spans="2:6" ht="14.5">
      <c r="B602" s="127">
        <v>686</v>
      </c>
      <c r="D602" s="129" t="s">
        <v>1245</v>
      </c>
      <c r="E602" s="161" t="s">
        <v>1246</v>
      </c>
      <c r="F602" s="161" t="s">
        <v>1246</v>
      </c>
    </row>
    <row r="603" spans="2:6" ht="14.5">
      <c r="B603" s="127">
        <v>687</v>
      </c>
      <c r="D603" s="129" t="s">
        <v>1257</v>
      </c>
      <c r="E603" s="144" t="s">
        <v>1259</v>
      </c>
      <c r="F603" s="144" t="s">
        <v>1259</v>
      </c>
    </row>
    <row r="604" spans="2:6" ht="14.5">
      <c r="B604" s="127">
        <v>688</v>
      </c>
      <c r="D604" s="129" t="s">
        <v>1275</v>
      </c>
      <c r="E604" s="171" t="s">
        <v>1276</v>
      </c>
      <c r="F604" s="171" t="s">
        <v>1276</v>
      </c>
    </row>
    <row r="605" spans="2:6" ht="36">
      <c r="B605" s="127">
        <v>689</v>
      </c>
      <c r="D605" s="129" t="s">
        <v>1303</v>
      </c>
      <c r="E605" s="191" t="s">
        <v>1304</v>
      </c>
      <c r="F605" s="191" t="s">
        <v>1304</v>
      </c>
    </row>
    <row r="606" spans="2:6" ht="14.5">
      <c r="B606" s="127">
        <v>690</v>
      </c>
      <c r="D606" s="129" t="s">
        <v>1366</v>
      </c>
      <c r="E606" s="145" t="s">
        <v>1349</v>
      </c>
      <c r="F606" s="145" t="s">
        <v>1349</v>
      </c>
    </row>
    <row r="607" spans="2:6" ht="14.5">
      <c r="B607" s="127">
        <v>691</v>
      </c>
      <c r="D607" s="129" t="s">
        <v>1367</v>
      </c>
      <c r="E607" s="145" t="s">
        <v>1350</v>
      </c>
      <c r="F607" s="145" t="s">
        <v>1350</v>
      </c>
    </row>
    <row r="608" spans="2:6" ht="14.5">
      <c r="B608" s="127">
        <v>692</v>
      </c>
      <c r="D608" s="129" t="s">
        <v>1368</v>
      </c>
      <c r="E608" s="145" t="s">
        <v>1351</v>
      </c>
      <c r="F608" s="145" t="s">
        <v>1351</v>
      </c>
    </row>
    <row r="609" spans="2:6" ht="14.5">
      <c r="B609" s="127">
        <v>693</v>
      </c>
      <c r="D609" s="129" t="s">
        <v>1360</v>
      </c>
      <c r="E609" s="145" t="s">
        <v>1378</v>
      </c>
      <c r="F609" s="145" t="s">
        <v>1378</v>
      </c>
    </row>
    <row r="610" spans="2:6" ht="14.5">
      <c r="B610" s="127">
        <v>694</v>
      </c>
      <c r="D610" s="129" t="s">
        <v>1384</v>
      </c>
      <c r="E610" s="198" t="s">
        <v>1382</v>
      </c>
      <c r="F610" s="198" t="s">
        <v>1382</v>
      </c>
    </row>
    <row r="611" spans="2:6" ht="29">
      <c r="B611" s="127">
        <v>695</v>
      </c>
      <c r="D611" s="129" t="s">
        <v>1383</v>
      </c>
      <c r="E611" s="197" t="s">
        <v>1381</v>
      </c>
      <c r="F611" s="197" t="s">
        <v>1381</v>
      </c>
    </row>
    <row r="612" spans="2:6" ht="14.5">
      <c r="B612" s="127">
        <v>696</v>
      </c>
      <c r="D612" s="129" t="s">
        <v>1386</v>
      </c>
      <c r="E612" s="144" t="s">
        <v>1387</v>
      </c>
      <c r="F612" s="144" t="s">
        <v>1387</v>
      </c>
    </row>
    <row r="613" spans="2:6" ht="14.5">
      <c r="B613" s="127">
        <v>697</v>
      </c>
      <c r="D613" s="129" t="s">
        <v>1388</v>
      </c>
      <c r="E613" s="144" t="s">
        <v>1389</v>
      </c>
      <c r="F613" s="144" t="s">
        <v>1389</v>
      </c>
    </row>
    <row r="614" spans="2:6" ht="14.5">
      <c r="B614" s="127">
        <v>698</v>
      </c>
      <c r="D614" s="129" t="s">
        <v>1390</v>
      </c>
      <c r="E614" s="144" t="s">
        <v>1391</v>
      </c>
      <c r="F614" s="144" t="s">
        <v>1391</v>
      </c>
    </row>
    <row r="615" spans="2:6" ht="14.5">
      <c r="B615" s="127">
        <v>699</v>
      </c>
      <c r="D615" s="129" t="s">
        <v>1392</v>
      </c>
      <c r="E615" s="191" t="s">
        <v>1393</v>
      </c>
      <c r="F615" s="191" t="s">
        <v>1393</v>
      </c>
    </row>
    <row r="616" spans="2:6" ht="12.5">
      <c r="B616" s="127">
        <v>700</v>
      </c>
      <c r="D616" s="129" t="s">
        <v>1401</v>
      </c>
      <c r="E616" s="191" t="s">
        <v>1397</v>
      </c>
      <c r="F616" s="191" t="s">
        <v>1397</v>
      </c>
    </row>
    <row r="617" spans="2:6" ht="12.5">
      <c r="B617" s="127">
        <v>701</v>
      </c>
      <c r="D617" s="129" t="s">
        <v>1406</v>
      </c>
      <c r="E617" s="191" t="s">
        <v>1398</v>
      </c>
      <c r="F617" s="191" t="s">
        <v>1398</v>
      </c>
    </row>
    <row r="618" spans="2:6" ht="14.5">
      <c r="B618" s="127">
        <v>702</v>
      </c>
      <c r="D618" s="129" t="s">
        <v>1402</v>
      </c>
      <c r="E618" s="145" t="s">
        <v>1399</v>
      </c>
      <c r="F618" s="145" t="s">
        <v>1399</v>
      </c>
    </row>
    <row r="619" spans="2:6" ht="14.5">
      <c r="B619" s="127">
        <v>703</v>
      </c>
      <c r="D619" s="129" t="s">
        <v>1403</v>
      </c>
      <c r="E619" s="145" t="s">
        <v>1405</v>
      </c>
      <c r="F619" s="145" t="s">
        <v>1405</v>
      </c>
    </row>
    <row r="620" spans="2:6" ht="14.5">
      <c r="B620" s="127">
        <v>704</v>
      </c>
      <c r="D620" s="129" t="s">
        <v>1404</v>
      </c>
      <c r="E620" s="145" t="s">
        <v>1400</v>
      </c>
      <c r="F620" s="145" t="s">
        <v>1400</v>
      </c>
    </row>
    <row r="621" spans="2:6" ht="14.5">
      <c r="B621" s="127">
        <v>705</v>
      </c>
      <c r="D621" s="129" t="s">
        <v>1428</v>
      </c>
      <c r="E621" s="144" t="s">
        <v>1429</v>
      </c>
      <c r="F621" s="144" t="s">
        <v>1429</v>
      </c>
    </row>
    <row r="622" spans="2:6" ht="14.5">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ht="14.5">
      <c r="B625" s="127">
        <v>709</v>
      </c>
      <c r="D625" s="129" t="s">
        <v>1432</v>
      </c>
      <c r="E625" s="145" t="s">
        <v>1441</v>
      </c>
      <c r="F625" s="129" t="s">
        <v>1435</v>
      </c>
    </row>
    <row r="626" spans="2:6" ht="14.5">
      <c r="B626" s="127">
        <v>710</v>
      </c>
      <c r="D626" s="129" t="s">
        <v>1474</v>
      </c>
      <c r="E626" s="144" t="s">
        <v>1475</v>
      </c>
      <c r="F626" s="144" t="s">
        <v>1475</v>
      </c>
    </row>
    <row r="627" spans="2:6" ht="29">
      <c r="B627" s="127">
        <v>711</v>
      </c>
      <c r="D627" s="129" t="s">
        <v>1478</v>
      </c>
      <c r="E627" s="191" t="s">
        <v>1477</v>
      </c>
      <c r="F627" s="191" t="s">
        <v>1477</v>
      </c>
    </row>
    <row r="628" spans="2:6" s="212" customFormat="1" ht="14.5">
      <c r="B628" s="127">
        <v>712</v>
      </c>
      <c r="C628" s="213" t="s">
        <v>500</v>
      </c>
      <c r="D628" s="214" t="s">
        <v>516</v>
      </c>
      <c r="E628" s="214" t="s">
        <v>1588</v>
      </c>
      <c r="F628" s="214" t="s">
        <v>1588</v>
      </c>
    </row>
  </sheetData>
  <sortState xmlns:xlrd2="http://schemas.microsoft.com/office/spreadsheetml/2017/richdata2" ref="A17:AA581">
    <sortCondition ref="D17:D581"/>
  </sortState>
  <phoneticPr fontId="1" type="noConversion"/>
  <hyperlinks>
    <hyperlink ref="E600" r:id="rId1" xr:uid="{00000000-0004-0000-0600-000000000000}"/>
    <hyperlink ref="F600" r:id="rId2" xr:uid="{00000000-0004-0000-0600-000001000000}"/>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3"/>
  <cols>
    <col min="1" max="1" width="6.25" style="68" customWidth="1"/>
    <col min="2" max="2" width="33.25" style="68" bestFit="1" customWidth="1"/>
    <col min="3" max="3" width="20.25" style="67" customWidth="1"/>
    <col min="4" max="4" width="23.08203125" style="67" customWidth="1"/>
    <col min="5" max="5" width="10" style="67" customWidth="1"/>
    <col min="6" max="6" width="15.25" style="67" customWidth="1"/>
    <col min="7" max="7" width="21.25" style="67" bestFit="1" customWidth="1"/>
    <col min="8" max="8" width="40.33203125" style="68" customWidth="1"/>
    <col min="9" max="9" width="23.58203125" style="68" bestFit="1" customWidth="1"/>
    <col min="10" max="10" width="9.5" style="68" bestFit="1" customWidth="1"/>
    <col min="11" max="11" width="22.5" style="68" bestFit="1" customWidth="1"/>
    <col min="12" max="12" width="60.75" style="68" bestFit="1" customWidth="1"/>
    <col min="13" max="13" width="25.08203125" style="68" bestFit="1" customWidth="1"/>
    <col min="14" max="14" width="4.75" style="68" bestFit="1" customWidth="1"/>
    <col min="15" max="15" width="23" style="68" bestFit="1" customWidth="1"/>
    <col min="16" max="16" width="8" style="68" bestFit="1" customWidth="1"/>
    <col min="17" max="17" width="28.33203125" style="68" bestFit="1" customWidth="1"/>
    <col min="18" max="18" width="6" style="68" bestFit="1" customWidth="1"/>
    <col min="19" max="19" width="27.75" style="68" bestFit="1" customWidth="1"/>
    <col min="20" max="20" width="4.75" style="68" bestFit="1" customWidth="1"/>
    <col min="21" max="21" width="24.33203125" style="68" bestFit="1" customWidth="1"/>
    <col min="22" max="22" width="4.25" style="68" bestFit="1" customWidth="1"/>
    <col min="23" max="23" width="28.83203125" style="68" bestFit="1" customWidth="1"/>
    <col min="24" max="24" width="8" style="68" bestFit="1" customWidth="1"/>
    <col min="25" max="25" width="22.58203125" style="68" bestFit="1" customWidth="1"/>
    <col min="26" max="26" width="4.83203125" style="68" bestFit="1" customWidth="1"/>
    <col min="27" max="27" width="24.33203125" style="68" customWidth="1"/>
    <col min="28" max="28" width="7.33203125" style="68" hidden="1" customWidth="1"/>
    <col min="29" max="29" width="19.75" style="68" bestFit="1" customWidth="1"/>
    <col min="30" max="30" width="4.25" style="68" bestFit="1" customWidth="1"/>
    <col min="31" max="31" width="15.33203125" style="68" bestFit="1" customWidth="1"/>
    <col min="32" max="32" width="39.58203125" style="68" bestFit="1" customWidth="1"/>
    <col min="33" max="33" width="35.75" style="68" bestFit="1" customWidth="1"/>
    <col min="34" max="34" width="4.83203125" style="68" bestFit="1" customWidth="1"/>
    <col min="35" max="35" width="24.25" style="68" bestFit="1" customWidth="1"/>
    <col min="36" max="36" width="8.75" style="68" bestFit="1" customWidth="1"/>
    <col min="37" max="37" width="26" style="68" bestFit="1" customWidth="1"/>
    <col min="38" max="38" width="4.58203125" style="68" bestFit="1" customWidth="1"/>
    <col min="39" max="39" width="35.58203125" style="68" bestFit="1" customWidth="1"/>
    <col min="40" max="40" width="33.33203125" style="68" bestFit="1" customWidth="1"/>
    <col min="41" max="41" width="22.58203125" style="68" bestFit="1" customWidth="1"/>
    <col min="42" max="42" width="5.25" style="68" bestFit="1" customWidth="1"/>
    <col min="43" max="43" width="16.58203125" style="68" bestFit="1" customWidth="1"/>
    <col min="44" max="44" width="93.33203125" style="68" bestFit="1" customWidth="1"/>
    <col min="45" max="45" width="21" style="68" bestFit="1" customWidth="1"/>
    <col min="46" max="46" width="5.5" style="68" bestFit="1" customWidth="1"/>
    <col min="47" max="47" width="14.83203125" style="68" bestFit="1" customWidth="1"/>
    <col min="48" max="48" width="28.58203125" style="68" bestFit="1" customWidth="1"/>
    <col min="49" max="49" width="22.58203125" style="68" bestFit="1" customWidth="1"/>
    <col min="50" max="50" width="4.83203125" style="68" bestFit="1" customWidth="1"/>
    <col min="51" max="51" width="15.58203125" style="68" bestFit="1" customWidth="1"/>
    <col min="52" max="53" width="13.08203125" style="68" bestFit="1" customWidth="1"/>
    <col min="54" max="55" width="14.83203125" style="68" bestFit="1" customWidth="1"/>
    <col min="56" max="57" width="22.58203125" style="68" bestFit="1" customWidth="1"/>
    <col min="58" max="59" width="15.58203125" style="68" bestFit="1" customWidth="1"/>
    <col min="60" max="61" width="13.08203125" style="68" bestFit="1" customWidth="1"/>
    <col min="62" max="63" width="14.83203125" style="68" bestFit="1" customWidth="1"/>
    <col min="64" max="65" width="22.582031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4">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46210.73364583333</v>
      </c>
    </row>
    <row r="12" spans="1:8">
      <c r="A12" s="68" t="s">
        <v>737</v>
      </c>
      <c r="B12" s="68" t="s">
        <v>712</v>
      </c>
      <c r="C12" s="67">
        <v>1</v>
      </c>
    </row>
    <row r="13" spans="1:8">
      <c r="A13" s="68" t="s">
        <v>737</v>
      </c>
      <c r="B13" s="68" t="s">
        <v>650</v>
      </c>
      <c r="C13" s="67">
        <v>0</v>
      </c>
      <c r="G13" s="70">
        <v>46210.73364583333</v>
      </c>
    </row>
    <row r="14" spans="1:8">
      <c r="A14" s="68" t="s">
        <v>737</v>
      </c>
      <c r="B14" s="68" t="s">
        <v>651</v>
      </c>
      <c r="C14" s="67">
        <v>0</v>
      </c>
      <c r="G14" s="70">
        <v>46210.73364583333</v>
      </c>
    </row>
    <row r="15" spans="1:8">
      <c r="A15" s="68" t="s">
        <v>737</v>
      </c>
      <c r="B15" s="68" t="s">
        <v>649</v>
      </c>
      <c r="C15" s="67">
        <v>1</v>
      </c>
      <c r="G15" s="70">
        <v>46210.73364583333</v>
      </c>
    </row>
    <row r="16" spans="1:8">
      <c r="A16" s="68" t="s">
        <v>737</v>
      </c>
      <c r="B16" s="68" t="s">
        <v>700</v>
      </c>
      <c r="C16" s="67">
        <v>1</v>
      </c>
      <c r="G16" s="70">
        <v>46210.73364583333</v>
      </c>
    </row>
    <row r="17" spans="1:7">
      <c r="A17" s="68" t="s">
        <v>737</v>
      </c>
      <c r="B17" s="68" t="s">
        <v>707</v>
      </c>
      <c r="C17" s="67">
        <v>1</v>
      </c>
      <c r="G17" s="70">
        <v>46210.73364583333</v>
      </c>
    </row>
    <row r="18" spans="1:7">
      <c r="A18" s="68" t="s">
        <v>737</v>
      </c>
      <c r="B18" s="68" t="s">
        <v>708</v>
      </c>
      <c r="C18" s="67">
        <v>1</v>
      </c>
      <c r="G18" s="70">
        <v>46210.73364583333</v>
      </c>
    </row>
    <row r="19" spans="1:7">
      <c r="A19" s="68" t="s">
        <v>737</v>
      </c>
      <c r="B19" s="68" t="s">
        <v>706</v>
      </c>
      <c r="C19" s="69">
        <v>46213</v>
      </c>
      <c r="G19" s="70">
        <v>46210.73364583333</v>
      </c>
    </row>
    <row r="20" spans="1:7">
      <c r="A20" s="68" t="s">
        <v>737</v>
      </c>
      <c r="B20" s="68" t="s">
        <v>652</v>
      </c>
      <c r="C20" s="67">
        <v>0</v>
      </c>
      <c r="G20" s="70">
        <v>46210.73364583333</v>
      </c>
    </row>
    <row r="21" spans="1:7">
      <c r="A21" s="68" t="s">
        <v>737</v>
      </c>
      <c r="B21" s="68" t="s">
        <v>705</v>
      </c>
      <c r="C21" s="67">
        <v>0</v>
      </c>
      <c r="G21" s="70">
        <v>46210.73364583333</v>
      </c>
    </row>
    <row r="22" spans="1:7">
      <c r="A22" s="68" t="s">
        <v>737</v>
      </c>
      <c r="B22" s="68" t="s">
        <v>709</v>
      </c>
      <c r="C22" s="67">
        <v>1</v>
      </c>
      <c r="G22" s="70">
        <v>46210.73364583333</v>
      </c>
    </row>
    <row r="23" spans="1:7">
      <c r="A23" s="68" t="s">
        <v>737</v>
      </c>
      <c r="B23" s="68" t="s">
        <v>654</v>
      </c>
      <c r="C23" s="67">
        <v>1</v>
      </c>
      <c r="G23" s="70">
        <v>46210.73364583333</v>
      </c>
    </row>
    <row r="24" spans="1:7">
      <c r="A24" s="68" t="s">
        <v>737</v>
      </c>
      <c r="B24" s="68" t="s">
        <v>702</v>
      </c>
      <c r="C24" s="69">
        <v>46387</v>
      </c>
      <c r="G24" s="70">
        <v>46212.602835648147</v>
      </c>
    </row>
    <row r="25" spans="1:7">
      <c r="A25" s="68" t="s">
        <v>737</v>
      </c>
      <c r="B25" s="68" t="s">
        <v>699</v>
      </c>
      <c r="C25" s="67" t="s">
        <v>1597</v>
      </c>
      <c r="G25" s="70">
        <v>46210.73364583333</v>
      </c>
    </row>
    <row r="26" spans="1:7">
      <c r="A26" s="68" t="s">
        <v>737</v>
      </c>
      <c r="B26" s="68" t="s">
        <v>701</v>
      </c>
      <c r="C26" s="69">
        <v>46161</v>
      </c>
      <c r="G26" s="70">
        <v>46212.602835648147</v>
      </c>
    </row>
    <row r="27" spans="1:7">
      <c r="A27" s="68" t="s">
        <v>737</v>
      </c>
      <c r="B27" s="68" t="s">
        <v>703</v>
      </c>
      <c r="C27" s="67" t="s">
        <v>1227</v>
      </c>
      <c r="G27" s="70">
        <v>46212.464074074072</v>
      </c>
    </row>
    <row r="28" spans="1:7">
      <c r="A28" s="68" t="s">
        <v>737</v>
      </c>
      <c r="B28" s="68" t="s">
        <v>704</v>
      </c>
      <c r="C28" s="67">
        <v>1</v>
      </c>
      <c r="G28" s="70">
        <v>46210.73364583333</v>
      </c>
    </row>
    <row r="29" spans="1:7">
      <c r="A29" s="68" t="s">
        <v>737</v>
      </c>
      <c r="B29" s="68" t="s">
        <v>710</v>
      </c>
      <c r="C29" s="67">
        <v>20</v>
      </c>
      <c r="G29" s="70">
        <v>46210.73364583333</v>
      </c>
    </row>
    <row r="30" spans="1:7">
      <c r="A30" s="68" t="s">
        <v>737</v>
      </c>
      <c r="B30" s="68" t="s">
        <v>711</v>
      </c>
      <c r="C30" s="67">
        <v>10</v>
      </c>
      <c r="G30" s="70">
        <v>46210.73364583333</v>
      </c>
    </row>
    <row r="31" spans="1:7">
      <c r="A31" s="68" t="s">
        <v>1230</v>
      </c>
      <c r="B31" s="68" t="s">
        <v>1231</v>
      </c>
      <c r="C31" s="67">
        <v>-4105</v>
      </c>
      <c r="F31" s="70"/>
      <c r="G31" s="70">
        <v>46212.602835648147</v>
      </c>
    </row>
    <row r="32" spans="1:7">
      <c r="A32" s="68" t="s">
        <v>738</v>
      </c>
      <c r="B32" s="68" t="s">
        <v>720</v>
      </c>
      <c r="C32" s="67">
        <v>1</v>
      </c>
      <c r="G32" s="70">
        <v>46210.73364583333</v>
      </c>
    </row>
    <row r="33" spans="1:7">
      <c r="A33" s="68" t="s">
        <v>738</v>
      </c>
      <c r="B33" s="68" t="s">
        <v>723</v>
      </c>
      <c r="C33" s="67">
        <v>0</v>
      </c>
    </row>
    <row r="34" spans="1:7">
      <c r="A34" s="68" t="s">
        <v>738</v>
      </c>
      <c r="B34" s="68" t="s">
        <v>655</v>
      </c>
      <c r="C34" s="67">
        <v>1</v>
      </c>
      <c r="G34" s="70">
        <v>46210.73364583333</v>
      </c>
    </row>
    <row r="35" spans="1:7">
      <c r="A35" s="68" t="s">
        <v>738</v>
      </c>
      <c r="B35" s="68" t="s">
        <v>657</v>
      </c>
      <c r="C35" s="67">
        <v>1</v>
      </c>
      <c r="G35" s="70">
        <v>46210.73364583333</v>
      </c>
    </row>
    <row r="36" spans="1:7">
      <c r="A36" s="68" t="s">
        <v>738</v>
      </c>
      <c r="B36" s="68" t="s">
        <v>656</v>
      </c>
      <c r="C36" s="67">
        <v>1</v>
      </c>
      <c r="G36" s="70">
        <v>46210.73364583333</v>
      </c>
    </row>
    <row r="37" spans="1:7">
      <c r="A37" s="68" t="s">
        <v>738</v>
      </c>
      <c r="B37" s="68" t="s">
        <v>714</v>
      </c>
      <c r="C37" s="67">
        <v>0</v>
      </c>
      <c r="G37" s="70">
        <v>46210.73364583333</v>
      </c>
    </row>
    <row r="38" spans="1:7">
      <c r="A38" s="68" t="s">
        <v>738</v>
      </c>
      <c r="B38" s="68" t="s">
        <v>717</v>
      </c>
      <c r="C38" s="67">
        <v>1</v>
      </c>
      <c r="G38" s="70">
        <v>46210.73364583333</v>
      </c>
    </row>
    <row r="39" spans="1:7">
      <c r="A39" s="68" t="s">
        <v>738</v>
      </c>
      <c r="B39" s="68" t="s">
        <v>728</v>
      </c>
      <c r="C39" s="67">
        <v>2</v>
      </c>
      <c r="G39" s="70">
        <v>46210.73364583333</v>
      </c>
    </row>
    <row r="40" spans="1:7">
      <c r="A40" s="68" t="s">
        <v>738</v>
      </c>
      <c r="B40" s="68" t="s">
        <v>718</v>
      </c>
      <c r="C40" s="67">
        <v>0.7</v>
      </c>
    </row>
    <row r="41" spans="1:7">
      <c r="A41" s="68" t="s">
        <v>738</v>
      </c>
      <c r="B41" s="68" t="s">
        <v>727</v>
      </c>
      <c r="C41" s="67">
        <v>1</v>
      </c>
      <c r="G41" s="70">
        <v>46210.73364583333</v>
      </c>
    </row>
    <row r="42" spans="1:7">
      <c r="A42" s="68" t="s">
        <v>738</v>
      </c>
      <c r="B42" s="68" t="s">
        <v>721</v>
      </c>
      <c r="C42" s="67">
        <v>1</v>
      </c>
      <c r="G42" s="70">
        <v>46210.73364583333</v>
      </c>
    </row>
    <row r="43" spans="1:7">
      <c r="A43" s="68" t="s">
        <v>738</v>
      </c>
      <c r="B43" s="68" t="s">
        <v>731</v>
      </c>
      <c r="C43" s="67">
        <v>-4131</v>
      </c>
      <c r="G43" s="70">
        <v>46210.73364583333</v>
      </c>
    </row>
    <row r="44" spans="1:7">
      <c r="A44" s="68" t="s">
        <v>738</v>
      </c>
      <c r="B44" s="68" t="s">
        <v>722</v>
      </c>
      <c r="C44" s="67">
        <v>1</v>
      </c>
      <c r="G44" s="70">
        <v>46210.73364583333</v>
      </c>
    </row>
    <row r="45" spans="1:7">
      <c r="A45" s="68" t="s">
        <v>738</v>
      </c>
      <c r="B45" s="68" t="s">
        <v>724</v>
      </c>
      <c r="C45" s="67">
        <v>0</v>
      </c>
      <c r="G45" s="70">
        <v>46210.73364583333</v>
      </c>
    </row>
    <row r="46" spans="1:7">
      <c r="A46" s="68" t="s">
        <v>738</v>
      </c>
      <c r="B46" s="68" t="s">
        <v>725</v>
      </c>
      <c r="C46" s="67">
        <v>1</v>
      </c>
      <c r="G46" s="70">
        <v>46210.73364583333</v>
      </c>
    </row>
    <row r="47" spans="1:7">
      <c r="A47" s="68" t="s">
        <v>738</v>
      </c>
      <c r="B47" s="68" t="s">
        <v>726</v>
      </c>
      <c r="C47" s="67">
        <v>1</v>
      </c>
      <c r="G47" s="70">
        <v>46210.73364583333</v>
      </c>
    </row>
    <row r="48" spans="1:7">
      <c r="A48" s="68" t="s">
        <v>738</v>
      </c>
      <c r="B48" s="68" t="s">
        <v>715</v>
      </c>
      <c r="C48" s="67">
        <v>1</v>
      </c>
    </row>
    <row r="49" spans="1:7">
      <c r="A49" s="68" t="s">
        <v>738</v>
      </c>
      <c r="B49" s="68" t="s">
        <v>716</v>
      </c>
      <c r="C49" s="67">
        <v>0</v>
      </c>
    </row>
    <row r="50" spans="1:7">
      <c r="A50" s="68" t="s">
        <v>738</v>
      </c>
      <c r="B50" s="68" t="s">
        <v>719</v>
      </c>
      <c r="C50" s="67">
        <v>2</v>
      </c>
      <c r="G50" s="70">
        <v>46210.73364583333</v>
      </c>
    </row>
    <row r="51" spans="1:7">
      <c r="A51" s="68" t="s">
        <v>738</v>
      </c>
      <c r="B51" s="68" t="s">
        <v>730</v>
      </c>
      <c r="C51" s="67" t="s">
        <v>1249</v>
      </c>
      <c r="G51" s="70">
        <v>45811.505787037036</v>
      </c>
    </row>
    <row r="52" spans="1:7">
      <c r="A52" s="68" t="s">
        <v>738</v>
      </c>
      <c r="B52" s="68" t="s">
        <v>653</v>
      </c>
      <c r="C52" s="67">
        <v>100</v>
      </c>
      <c r="G52" s="70">
        <v>46210.73364583333</v>
      </c>
    </row>
    <row r="53" spans="1:7">
      <c r="A53" s="68" t="s">
        <v>738</v>
      </c>
      <c r="B53" s="68" t="s">
        <v>729</v>
      </c>
      <c r="C53" s="67">
        <v>9</v>
      </c>
    </row>
    <row r="54" spans="1:7">
      <c r="A54" s="68" t="s">
        <v>1243</v>
      </c>
      <c r="B54" s="68" t="s">
        <v>1244</v>
      </c>
      <c r="C54" s="67">
        <v>1</v>
      </c>
      <c r="F54" s="70">
        <v>45811.009814814817</v>
      </c>
      <c r="G54" s="70">
        <v>46210.73364583333</v>
      </c>
    </row>
    <row r="55" spans="1:7">
      <c r="A55" s="68" t="s">
        <v>739</v>
      </c>
      <c r="B55" s="68" t="s">
        <v>616</v>
      </c>
      <c r="C55" s="67">
        <v>0</v>
      </c>
      <c r="G55" s="70">
        <v>46210.73364583333</v>
      </c>
    </row>
    <row r="56" spans="1:7">
      <c r="A56" s="68" t="s">
        <v>739</v>
      </c>
      <c r="B56" s="68" t="s">
        <v>732</v>
      </c>
      <c r="C56" s="67" t="s">
        <v>1476</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46210.73364583333</v>
      </c>
    </row>
    <row r="60" spans="1:7">
      <c r="A60" s="68" t="s">
        <v>688</v>
      </c>
      <c r="B60" s="68" t="s">
        <v>734</v>
      </c>
      <c r="C60" s="67">
        <v>1</v>
      </c>
      <c r="G60" s="70">
        <v>46210.73364583333</v>
      </c>
    </row>
    <row r="61" spans="1:7">
      <c r="A61" s="68" t="s">
        <v>688</v>
      </c>
      <c r="B61" s="68" t="s">
        <v>733</v>
      </c>
      <c r="C61" s="67">
        <v>82</v>
      </c>
      <c r="G61" s="70">
        <v>46118.934374999997</v>
      </c>
    </row>
    <row r="62" spans="1:7">
      <c r="A62" s="68" t="s">
        <v>688</v>
      </c>
      <c r="B62" s="68" t="s">
        <v>736</v>
      </c>
      <c r="C62" s="67" t="s">
        <v>569</v>
      </c>
      <c r="G62" s="70">
        <v>46210.73364583333</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1590</v>
      </c>
      <c r="G79" s="70">
        <v>46188.464988425927</v>
      </c>
    </row>
    <row r="80" spans="1:7">
      <c r="A80" s="68" t="s">
        <v>740</v>
      </c>
      <c r="B80" s="68" t="s">
        <v>642</v>
      </c>
      <c r="C80" s="67" t="s">
        <v>1592</v>
      </c>
      <c r="G80" s="70">
        <v>46188.464988425927</v>
      </c>
    </row>
    <row r="81" spans="1:7">
      <c r="A81" s="68" t="s">
        <v>740</v>
      </c>
      <c r="B81" s="68" t="s">
        <v>641</v>
      </c>
      <c r="C81" s="67" t="s">
        <v>1593</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1591</v>
      </c>
      <c r="G87" s="70">
        <v>46188.464988425927</v>
      </c>
    </row>
    <row r="88" spans="1:7">
      <c r="A88" s="68" t="s">
        <v>740</v>
      </c>
      <c r="B88" s="68" t="s">
        <v>639</v>
      </c>
      <c r="C88" s="67" t="s">
        <v>1591</v>
      </c>
      <c r="G88" s="70">
        <v>46188.464988425927</v>
      </c>
    </row>
    <row r="89" spans="1:7">
      <c r="A89" s="68" t="s">
        <v>740</v>
      </c>
      <c r="B89" s="68" t="s">
        <v>640</v>
      </c>
      <c r="C89" s="67" t="s">
        <v>1591</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46210.73364583333</v>
      </c>
    </row>
    <row r="112" spans="1:7">
      <c r="A112" s="68" t="s">
        <v>1243</v>
      </c>
      <c r="B112" s="68" t="s">
        <v>1250</v>
      </c>
      <c r="C112" s="67">
        <v>1</v>
      </c>
      <c r="F112" s="70">
        <v>45811.536481481482</v>
      </c>
      <c r="G112" s="70">
        <v>46210.73364583333</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46210.73364583333</v>
      </c>
    </row>
    <row r="119" spans="1:7">
      <c r="A119" s="68" t="s">
        <v>1230</v>
      </c>
      <c r="B119" s="68" t="s">
        <v>1394</v>
      </c>
      <c r="C119" s="67">
        <v>1</v>
      </c>
      <c r="F119" s="70">
        <v>46103.788634259261</v>
      </c>
      <c r="G119" s="70">
        <v>46210.73364583333</v>
      </c>
    </row>
  </sheetData>
  <sortState xmlns:xlrd2="http://schemas.microsoft.com/office/spreadsheetml/2017/richdata2" ref="A55:AB94">
    <sortCondition ref="A55:A94"/>
    <sortCondition ref="B55:B94"/>
  </sortState>
  <phoneticPr fontId="1" type="noConversion"/>
  <hyperlinks>
    <hyperlink ref="C6" r:id="rId1" xr:uid="{00000000-0004-0000-0700-000000000000}"/>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현빈 장</cp:lastModifiedBy>
  <cp:lastPrinted>2022-06-05T11:24:31Z</cp:lastPrinted>
  <dcterms:created xsi:type="dcterms:W3CDTF">2018-02-18T09:45:14Z</dcterms:created>
  <dcterms:modified xsi:type="dcterms:W3CDTF">2026-07-13T07:26:00Z</dcterms:modified>
</cp:coreProperties>
</file>