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redcs\레몬헬스케어\00. 과제사업\06. 스마트동행서비스 (FAMOZ)\30. 결과보고\결과보고 산출물폴더\2. 중간산출물\(2-3) WBS\"/>
    </mc:Choice>
  </mc:AlternateContent>
  <bookViews>
    <workbookView xWindow="0" yWindow="0" windowWidth="23040" windowHeight="9600" activeTab="2"/>
  </bookViews>
  <sheets>
    <sheet name="1.표지" sheetId="11" r:id="rId1"/>
    <sheet name="2.개정이력" sheetId="12" r:id="rId2"/>
    <sheet name="3.WBS" sheetId="10" r:id="rId3"/>
  </sheets>
  <externalReferences>
    <externalReference r:id="rId4"/>
  </externalReferences>
  <definedNames>
    <definedName name="_xlnm._FilterDatabase" localSheetId="2" hidden="1">'3.WBS'!$A$3:$Q$3</definedName>
    <definedName name="EI_A">#REF!</definedName>
    <definedName name="EI_C">#REF!</definedName>
    <definedName name="EI_first_row">#REF!</definedName>
    <definedName name="EI_Name">#REF!</definedName>
    <definedName name="EI_S">#REF!</definedName>
    <definedName name="Entity_List">#REF!</definedName>
    <definedName name="Est_Eff_MDay">#REF!</definedName>
    <definedName name="FT_A">#REF!</definedName>
    <definedName name="FT_C">#REF!</definedName>
    <definedName name="FT_S">#REF!</definedName>
    <definedName name="Function_List">#REF!</definedName>
    <definedName name="IT_A">#REF!</definedName>
    <definedName name="IT_C">#REF!</definedName>
    <definedName name="IT_S">#REF!</definedName>
    <definedName name="itsa_ratio_nrec">#REF!</definedName>
    <definedName name="itsa_ratio_rec">#REF!</definedName>
    <definedName name="LastRow">#REF!</definedName>
    <definedName name="Modifier">#REF!</definedName>
    <definedName name="OT_A">#REF!</definedName>
    <definedName name="OT_C">#REF!</definedName>
    <definedName name="OT_S">#REF!</definedName>
    <definedName name="_xlnm.Print_Area" localSheetId="2">'3.WBS'!$A$1:$U$60</definedName>
    <definedName name="_xlnm.Print_Titles" localSheetId="2">'3.WBS'!$1:$5</definedName>
    <definedName name="QT_A">#REF!</definedName>
    <definedName name="QT_C">#REF!</definedName>
    <definedName name="QT_S">#REF!</definedName>
    <definedName name="산출물명" localSheetId="0">'[1]1.표지'!$C$4</definedName>
  </definedNames>
  <calcPr calcId="162913"/>
  <customWorkbookViews>
    <customWorkbookView name="LeeYongKeun - 사용자 보기" guid="{05257AEE-9A72-4393-A6F9-396FD6D05928}" mergeInterval="0" personalView="1" maximized="1" xWindow="1" yWindow="1" windowWidth="1680" windowHeight="851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0" l="1"/>
  <c r="H43" i="10"/>
  <c r="H42" i="10"/>
  <c r="L41" i="10"/>
  <c r="J41" i="10"/>
  <c r="I41" i="10"/>
  <c r="H41" i="10" s="1"/>
  <c r="H23" i="10"/>
  <c r="H22" i="10"/>
  <c r="L21" i="10"/>
  <c r="J21" i="10"/>
  <c r="H21" i="10" s="1"/>
  <c r="I21" i="10"/>
  <c r="H25" i="10"/>
  <c r="H20" i="10"/>
  <c r="L19" i="10"/>
  <c r="J19" i="10"/>
  <c r="I19" i="10"/>
  <c r="H19" i="10"/>
  <c r="H59" i="10" l="1"/>
  <c r="L58" i="10"/>
  <c r="J58" i="10"/>
  <c r="I58" i="10"/>
  <c r="H53" i="10"/>
  <c r="H52" i="10"/>
  <c r="H51" i="10"/>
  <c r="H50" i="10"/>
  <c r="H49" i="10"/>
  <c r="L48" i="10"/>
  <c r="J48" i="10"/>
  <c r="I48" i="10"/>
  <c r="H40" i="10"/>
  <c r="H39" i="10"/>
  <c r="L38" i="10"/>
  <c r="J38" i="10"/>
  <c r="I38" i="10"/>
  <c r="H36" i="10"/>
  <c r="H30" i="10"/>
  <c r="H37" i="10"/>
  <c r="H35" i="10"/>
  <c r="L34" i="10"/>
  <c r="J34" i="10"/>
  <c r="I34" i="10"/>
  <c r="H34" i="10" s="1"/>
  <c r="H33" i="10"/>
  <c r="H18" i="10"/>
  <c r="H17" i="10"/>
  <c r="H16" i="10"/>
  <c r="H15" i="10"/>
  <c r="L14" i="10"/>
  <c r="J14" i="10"/>
  <c r="I14" i="10"/>
  <c r="H13" i="10"/>
  <c r="H12" i="10"/>
  <c r="L11" i="10"/>
  <c r="J11" i="10"/>
  <c r="I11" i="10"/>
  <c r="H46" i="10"/>
  <c r="L45" i="10"/>
  <c r="J45" i="10"/>
  <c r="I45" i="10"/>
  <c r="H31" i="10"/>
  <c r="H29" i="10"/>
  <c r="L28" i="10"/>
  <c r="J28" i="10"/>
  <c r="I28" i="10"/>
  <c r="L32" i="10" l="1"/>
  <c r="H58" i="10"/>
  <c r="H38" i="10"/>
  <c r="H48" i="10"/>
  <c r="H14" i="10"/>
  <c r="I32" i="10"/>
  <c r="I27" i="10" s="1"/>
  <c r="J32" i="10"/>
  <c r="H11" i="10"/>
  <c r="H28" i="10"/>
  <c r="L27" i="10"/>
  <c r="H45" i="10"/>
  <c r="H10" i="10"/>
  <c r="H32" i="10" l="1"/>
  <c r="J27" i="10"/>
  <c r="H27" i="10" s="1"/>
  <c r="G6" i="10" l="1"/>
  <c r="L60" i="10" l="1"/>
  <c r="J60" i="10"/>
  <c r="I60" i="10"/>
  <c r="H60" i="10" s="1"/>
  <c r="H9" i="10" l="1"/>
  <c r="L8" i="10"/>
  <c r="J8" i="10"/>
  <c r="I8" i="10"/>
  <c r="H8" i="10" l="1"/>
  <c r="L24" i="10"/>
  <c r="L7" i="10" s="1"/>
  <c r="J24" i="10"/>
  <c r="J7" i="10" s="1"/>
  <c r="I24" i="10"/>
  <c r="I7" i="10" s="1"/>
  <c r="L55" i="10"/>
  <c r="L54" i="10" s="1"/>
  <c r="L47" i="10" s="1"/>
  <c r="J55" i="10"/>
  <c r="I55" i="10"/>
  <c r="L6" i="10" l="1"/>
  <c r="I54" i="10"/>
  <c r="I47" i="10" s="1"/>
  <c r="J54" i="10"/>
  <c r="H55" i="10"/>
  <c r="H62" i="10"/>
  <c r="H54" i="10" l="1"/>
  <c r="J47" i="10"/>
  <c r="H47" i="10" s="1"/>
  <c r="I6" i="10"/>
  <c r="H61" i="10"/>
  <c r="H57" i="10"/>
  <c r="H56" i="10"/>
  <c r="H26" i="10"/>
  <c r="O1" i="10"/>
  <c r="N44" i="10" l="1"/>
  <c r="K44" i="10" s="1"/>
  <c r="M44" i="10" s="1"/>
  <c r="N43" i="10"/>
  <c r="K43" i="10" s="1"/>
  <c r="M43" i="10" s="1"/>
  <c r="N42" i="10"/>
  <c r="K42" i="10" s="1"/>
  <c r="N41" i="10"/>
  <c r="N23" i="10"/>
  <c r="K23" i="10" s="1"/>
  <c r="N22" i="10"/>
  <c r="K22" i="10" s="1"/>
  <c r="M22" i="10" s="1"/>
  <c r="N21" i="10"/>
  <c r="N25" i="10"/>
  <c r="K25" i="10" s="1"/>
  <c r="M25" i="10" s="1"/>
  <c r="N20" i="10"/>
  <c r="K20" i="10"/>
  <c r="N19" i="10"/>
  <c r="N59" i="10"/>
  <c r="K59" i="10" s="1"/>
  <c r="N58" i="10"/>
  <c r="J6" i="10"/>
  <c r="H6" i="10" s="1"/>
  <c r="N53" i="10"/>
  <c r="K53" i="10" s="1"/>
  <c r="M53" i="10" s="1"/>
  <c r="N52" i="10"/>
  <c r="K52" i="10" s="1"/>
  <c r="M52" i="10" s="1"/>
  <c r="N51" i="10"/>
  <c r="K51" i="10" s="1"/>
  <c r="M51" i="10" s="1"/>
  <c r="N50" i="10"/>
  <c r="K50" i="10" s="1"/>
  <c r="M50" i="10" s="1"/>
  <c r="N49" i="10"/>
  <c r="K49" i="10" s="1"/>
  <c r="N47" i="10"/>
  <c r="N48" i="10"/>
  <c r="N40" i="10"/>
  <c r="K40" i="10" s="1"/>
  <c r="M40" i="10" s="1"/>
  <c r="N39" i="10"/>
  <c r="K39" i="10" s="1"/>
  <c r="N38" i="10"/>
  <c r="N36" i="10"/>
  <c r="K36" i="10" s="1"/>
  <c r="M36" i="10" s="1"/>
  <c r="N30" i="10"/>
  <c r="K30" i="10" s="1"/>
  <c r="M30" i="10" s="1"/>
  <c r="N37" i="10"/>
  <c r="K37" i="10" s="1"/>
  <c r="M37" i="10" s="1"/>
  <c r="N35" i="10"/>
  <c r="K35" i="10" s="1"/>
  <c r="N34" i="10"/>
  <c r="N33" i="10"/>
  <c r="K33" i="10" s="1"/>
  <c r="N32" i="10"/>
  <c r="N18" i="10"/>
  <c r="K18" i="10" s="1"/>
  <c r="M18" i="10" s="1"/>
  <c r="N17" i="10"/>
  <c r="K17" i="10" s="1"/>
  <c r="M17" i="10" s="1"/>
  <c r="N16" i="10"/>
  <c r="K16" i="10" s="1"/>
  <c r="M16" i="10" s="1"/>
  <c r="N15" i="10"/>
  <c r="K15" i="10" s="1"/>
  <c r="N14" i="10"/>
  <c r="N13" i="10"/>
  <c r="K13" i="10" s="1"/>
  <c r="M13" i="10" s="1"/>
  <c r="N12" i="10"/>
  <c r="K12" i="10" s="1"/>
  <c r="N11" i="10"/>
  <c r="N46" i="10"/>
  <c r="K46" i="10" s="1"/>
  <c r="N31" i="10"/>
  <c r="K31" i="10" s="1"/>
  <c r="M31" i="10" s="1"/>
  <c r="N29" i="10"/>
  <c r="K29" i="10" s="1"/>
  <c r="N28" i="10"/>
  <c r="N27" i="10"/>
  <c r="N45" i="10"/>
  <c r="N10" i="10"/>
  <c r="K10" i="10" s="1"/>
  <c r="M10" i="10" s="1"/>
  <c r="N60" i="10"/>
  <c r="N9" i="10"/>
  <c r="K9" i="10" s="1"/>
  <c r="N8" i="10"/>
  <c r="N62" i="10"/>
  <c r="K62" i="10" s="1"/>
  <c r="M62" i="10" s="1"/>
  <c r="H24" i="10"/>
  <c r="N55" i="10"/>
  <c r="N61" i="10"/>
  <c r="K61" i="10" s="1"/>
  <c r="N24" i="10"/>
  <c r="N26" i="10"/>
  <c r="K26" i="10" s="1"/>
  <c r="M26" i="10" s="1"/>
  <c r="N56" i="10"/>
  <c r="K56" i="10" s="1"/>
  <c r="N57" i="10"/>
  <c r="K57" i="10" s="1"/>
  <c r="M57" i="10" s="1"/>
  <c r="M42" i="10" l="1"/>
  <c r="K41" i="10"/>
  <c r="M41" i="10" s="1"/>
  <c r="M23" i="10"/>
  <c r="K21" i="10"/>
  <c r="M21" i="10" s="1"/>
  <c r="M20" i="10"/>
  <c r="K19" i="10"/>
  <c r="M19" i="10" s="1"/>
  <c r="M59" i="10"/>
  <c r="K58" i="10"/>
  <c r="M58" i="10" s="1"/>
  <c r="K48" i="10"/>
  <c r="M49" i="10"/>
  <c r="M39" i="10"/>
  <c r="K38" i="10"/>
  <c r="M38" i="10" s="1"/>
  <c r="M35" i="10"/>
  <c r="K34" i="10"/>
  <c r="M34" i="10" s="1"/>
  <c r="M33" i="10"/>
  <c r="M15" i="10"/>
  <c r="K14" i="10"/>
  <c r="M14" i="10" s="1"/>
  <c r="M12" i="10"/>
  <c r="K11" i="10"/>
  <c r="M11" i="10" s="1"/>
  <c r="M29" i="10"/>
  <c r="K28" i="10"/>
  <c r="M46" i="10"/>
  <c r="K45" i="10"/>
  <c r="M45" i="10" s="1"/>
  <c r="K60" i="10"/>
  <c r="M60" i="10" s="1"/>
  <c r="M9" i="10"/>
  <c r="K8" i="10"/>
  <c r="K24" i="10"/>
  <c r="K55" i="10"/>
  <c r="M61" i="10"/>
  <c r="M56" i="10"/>
  <c r="N54" i="10"/>
  <c r="N7" i="10"/>
  <c r="H7" i="10"/>
  <c r="M48" i="10" l="1"/>
  <c r="K32" i="10"/>
  <c r="M32" i="10" s="1"/>
  <c r="M28" i="10"/>
  <c r="K27" i="10"/>
  <c r="M27" i="10" s="1"/>
  <c r="K7" i="10"/>
  <c r="K54" i="10"/>
  <c r="M54" i="10" s="1"/>
  <c r="M8" i="10"/>
  <c r="M24" i="10"/>
  <c r="M55" i="10"/>
  <c r="N6" i="10"/>
  <c r="K47" i="10" l="1"/>
  <c r="M47" i="10" s="1"/>
  <c r="K6" i="10"/>
  <c r="M6" i="10" s="1"/>
  <c r="M7" i="10"/>
</calcChain>
</file>

<file path=xl/sharedStrings.xml><?xml version="1.0" encoding="utf-8"?>
<sst xmlns="http://schemas.openxmlformats.org/spreadsheetml/2006/main" count="228" uniqueCount="164">
  <si>
    <t>작업
일수</t>
    <phoneticPr fontId="3" type="noConversion"/>
  </si>
  <si>
    <t>계획
완료율</t>
    <phoneticPr fontId="3" type="noConversion"/>
  </si>
  <si>
    <t>차이</t>
    <phoneticPr fontId="3" type="noConversion"/>
  </si>
  <si>
    <t xml:space="preserve">산출물 </t>
    <phoneticPr fontId="23" type="noConversion"/>
  </si>
  <si>
    <t>Task</t>
    <phoneticPr fontId="2" type="noConversion"/>
  </si>
  <si>
    <t>실제
완료율</t>
    <phoneticPr fontId="3" type="noConversion"/>
  </si>
  <si>
    <t>실적
일수</t>
    <phoneticPr fontId="3" type="noConversion"/>
  </si>
  <si>
    <t>담당자</t>
    <phoneticPr fontId="23" type="noConversion"/>
  </si>
  <si>
    <t>Weight</t>
    <phoneticPr fontId="3" type="noConversion"/>
  </si>
  <si>
    <t>시작일자</t>
    <phoneticPr fontId="2" type="noConversion"/>
  </si>
  <si>
    <t>완료일자</t>
    <phoneticPr fontId="2" type="noConversion"/>
  </si>
  <si>
    <t>1.2.1</t>
    <phoneticPr fontId="2" type="noConversion"/>
  </si>
  <si>
    <t>2.1.1</t>
    <phoneticPr fontId="2" type="noConversion"/>
  </si>
  <si>
    <t>2.2.1</t>
    <phoneticPr fontId="2" type="noConversion"/>
  </si>
  <si>
    <t>선행작업</t>
    <phoneticPr fontId="23" type="noConversion"/>
  </si>
  <si>
    <t>분석/설계</t>
    <phoneticPr fontId="2" type="noConversion"/>
  </si>
  <si>
    <t>#</t>
    <phoneticPr fontId="3" type="noConversion"/>
  </si>
  <si>
    <t>2.1.2</t>
  </si>
  <si>
    <t>비고</t>
    <phoneticPr fontId="2" type="noConversion"/>
  </si>
  <si>
    <t>홍창수</t>
    <phoneticPr fontId="2" type="noConversion"/>
  </si>
  <si>
    <t>진행관련 확인사항</t>
    <phoneticPr fontId="2" type="noConversion"/>
  </si>
  <si>
    <t>1.1.1</t>
    <phoneticPr fontId="2" type="noConversion"/>
  </si>
  <si>
    <t>1.1.2</t>
  </si>
  <si>
    <t>1.2.2</t>
  </si>
  <si>
    <t>2.1.3</t>
  </si>
  <si>
    <t>대통령선거</t>
    <phoneticPr fontId="2" type="noConversion"/>
  </si>
  <si>
    <t>현충일</t>
  </si>
  <si>
    <t>광복절</t>
  </si>
  <si>
    <t>공휴일</t>
    <phoneticPr fontId="2" type="noConversion"/>
  </si>
  <si>
    <t>프로젝트명</t>
    <phoneticPr fontId="3" type="noConversion"/>
  </si>
  <si>
    <t>스마트 병원동행 AI앱</t>
    <phoneticPr fontId="2" type="noConversion"/>
  </si>
  <si>
    <t>구분</t>
    <phoneticPr fontId="3" type="noConversion"/>
  </si>
  <si>
    <t>수행</t>
    <phoneticPr fontId="2" type="noConversion"/>
  </si>
  <si>
    <t>활동</t>
    <phoneticPr fontId="3" type="noConversion"/>
  </si>
  <si>
    <t>분석</t>
  </si>
  <si>
    <t>작업</t>
    <phoneticPr fontId="3" type="noConversion"/>
  </si>
  <si>
    <t>산출물</t>
    <phoneticPr fontId="3" type="noConversion"/>
  </si>
  <si>
    <t>버전</t>
    <phoneticPr fontId="3" type="noConversion"/>
  </si>
  <si>
    <t>변경일</t>
    <phoneticPr fontId="3" type="noConversion"/>
  </si>
  <si>
    <t>변경사유</t>
    <phoneticPr fontId="3" type="noConversion"/>
  </si>
  <si>
    <t>변경내용</t>
    <phoneticPr fontId="3" type="noConversion"/>
  </si>
  <si>
    <t>작성자</t>
    <phoneticPr fontId="3" type="noConversion"/>
  </si>
  <si>
    <t>승인</t>
    <phoneticPr fontId="3" type="noConversion"/>
  </si>
  <si>
    <t>0.1</t>
    <phoneticPr fontId="3" type="noConversion"/>
  </si>
  <si>
    <t>최초작성</t>
    <phoneticPr fontId="2" type="noConversion"/>
  </si>
  <si>
    <t>WBS</t>
    <phoneticPr fontId="2" type="noConversion"/>
  </si>
  <si>
    <t>과제세부수행일정</t>
    <phoneticPr fontId="2" type="noConversion"/>
  </si>
  <si>
    <t>2026.05.26</t>
    <phoneticPr fontId="2" type="noConversion"/>
  </si>
  <si>
    <t>스마트 병원동행 AI앱 파일럿 실증</t>
    <phoneticPr fontId="2" type="noConversion"/>
  </si>
  <si>
    <t>요구사항 분석 정의 및 개발일정 산출</t>
    <phoneticPr fontId="2" type="noConversion"/>
  </si>
  <si>
    <t>요구사항 분석 및 정의</t>
    <phoneticPr fontId="2" type="noConversion"/>
  </si>
  <si>
    <t>세부개발일정 산출</t>
    <phoneticPr fontId="2" type="noConversion"/>
  </si>
  <si>
    <t>스마트 병원동행 AI앱 WBS - 1차년도 (2026년)</t>
    <phoneticPr fontId="2" type="noConversion"/>
  </si>
  <si>
    <t>3.1.1</t>
    <phoneticPr fontId="2" type="noConversion"/>
  </si>
  <si>
    <t>3.1.2</t>
  </si>
  <si>
    <t>3.1.3</t>
  </si>
  <si>
    <t>3.1.4</t>
  </si>
  <si>
    <t>3.1.5</t>
  </si>
  <si>
    <t>아키텍처 설계</t>
    <phoneticPr fontId="2" type="noConversion"/>
  </si>
  <si>
    <t>측위 기준 데이터 구축</t>
    <phoneticPr fontId="2" type="noConversion"/>
  </si>
  <si>
    <t>LiDAR 전층 스캔</t>
    <phoneticPr fontId="2" type="noConversion"/>
  </si>
  <si>
    <t>기준맵 구축</t>
    <phoneticPr fontId="2" type="noConversion"/>
  </si>
  <si>
    <t>WiFi FP DB 구축</t>
    <phoneticPr fontId="2" type="noConversion"/>
  </si>
  <si>
    <t>QR앵커 / PDR 통합</t>
    <phoneticPr fontId="2" type="noConversion"/>
  </si>
  <si>
    <t>데이터셋 구축</t>
    <phoneticPr fontId="2" type="noConversion"/>
  </si>
  <si>
    <t>시스템 구성 설계</t>
    <phoneticPr fontId="2" type="noConversion"/>
  </si>
  <si>
    <t>시스템 인프라 구축</t>
    <phoneticPr fontId="2" type="noConversion"/>
  </si>
  <si>
    <t>측위 개발</t>
    <phoneticPr fontId="2" type="noConversion"/>
  </si>
  <si>
    <t>컨소 전체</t>
    <phoneticPr fontId="2" type="noConversion"/>
  </si>
  <si>
    <t>파모즈</t>
    <phoneticPr fontId="2" type="noConversion"/>
  </si>
  <si>
    <t>푸시 개발 가이드</t>
    <phoneticPr fontId="2" type="noConversion"/>
  </si>
  <si>
    <t>1.3.1</t>
    <phoneticPr fontId="2" type="noConversion"/>
  </si>
  <si>
    <t>1.3.2</t>
  </si>
  <si>
    <t>1.3.3</t>
  </si>
  <si>
    <t>1.3.4</t>
  </si>
  <si>
    <t>1.4.1</t>
    <phoneticPr fontId="2" type="noConversion"/>
  </si>
  <si>
    <t>푸시 개발 가이드 작성 제공</t>
    <phoneticPr fontId="2" type="noConversion"/>
  </si>
  <si>
    <t>레몬헬스케어</t>
    <phoneticPr fontId="2" type="noConversion"/>
  </si>
  <si>
    <t>WBS</t>
    <phoneticPr fontId="2" type="noConversion"/>
  </si>
  <si>
    <t>요구사항정의서</t>
    <phoneticPr fontId="2" type="noConversion"/>
  </si>
  <si>
    <t>시스템구성도</t>
    <phoneticPr fontId="2" type="noConversion"/>
  </si>
  <si>
    <t>DB설계서</t>
    <phoneticPr fontId="2" type="noConversion"/>
  </si>
  <si>
    <t>온톨리지 v1.0 구축</t>
    <phoneticPr fontId="2" type="noConversion"/>
  </si>
  <si>
    <t>전대산</t>
    <phoneticPr fontId="2" type="noConversion"/>
  </si>
  <si>
    <t>온톨리지 구축</t>
    <phoneticPr fontId="2" type="noConversion"/>
  </si>
  <si>
    <t>Proactive 트리거 개발</t>
    <phoneticPr fontId="2" type="noConversion"/>
  </si>
  <si>
    <t>Native AR SDK 개발</t>
    <phoneticPr fontId="2" type="noConversion"/>
  </si>
  <si>
    <t>AR SDK</t>
    <phoneticPr fontId="2" type="noConversion"/>
  </si>
  <si>
    <t>AI SDK 개발</t>
    <phoneticPr fontId="2" type="noConversion"/>
  </si>
  <si>
    <t>AI SDK</t>
    <phoneticPr fontId="2" type="noConversion"/>
  </si>
  <si>
    <t>2.3.1</t>
    <phoneticPr fontId="2" type="noConversion"/>
  </si>
  <si>
    <t>2.3.2</t>
  </si>
  <si>
    <t>푸시 개발</t>
    <phoneticPr fontId="2" type="noConversion"/>
  </si>
  <si>
    <t>푸시 발송 개발</t>
    <phoneticPr fontId="2" type="noConversion"/>
  </si>
  <si>
    <t>전남대병원/레몬</t>
    <phoneticPr fontId="2" type="noConversion"/>
  </si>
  <si>
    <t>Native AR SDK 환자용앱 통합</t>
    <phoneticPr fontId="2" type="noConversion"/>
  </si>
  <si>
    <t>파모즈/레몬</t>
    <phoneticPr fontId="2" type="noConversion"/>
  </si>
  <si>
    <t>2.3.3</t>
  </si>
  <si>
    <t>AI SDK 환자용앱 통합</t>
    <phoneticPr fontId="2" type="noConversion"/>
  </si>
  <si>
    <t>개발 앱</t>
    <phoneticPr fontId="2" type="noConversion"/>
  </si>
  <si>
    <t>푸시 수신 및 연동 개발</t>
    <phoneticPr fontId="2" type="noConversion"/>
  </si>
  <si>
    <t>전남대병원</t>
    <phoneticPr fontId="2" type="noConversion"/>
  </si>
  <si>
    <t>환자용 개발앱 고도화 개발</t>
    <phoneticPr fontId="2" type="noConversion"/>
  </si>
  <si>
    <t>AR 길찾기 기능 연동 개발</t>
    <phoneticPr fontId="2" type="noConversion"/>
  </si>
  <si>
    <t>AI 챗봇 기능 연동 개발</t>
    <phoneticPr fontId="2" type="noConversion"/>
  </si>
  <si>
    <t>테스트</t>
    <phoneticPr fontId="2" type="noConversion"/>
  </si>
  <si>
    <t>파일럿 실증</t>
    <phoneticPr fontId="2" type="noConversion"/>
  </si>
  <si>
    <t>파일럿 실증 인력 모집 (50+)</t>
    <phoneticPr fontId="2" type="noConversion"/>
  </si>
  <si>
    <t>용역</t>
    <phoneticPr fontId="2" type="noConversion"/>
  </si>
  <si>
    <t>용역산출물</t>
    <phoneticPr fontId="2" type="noConversion"/>
  </si>
  <si>
    <t>파일럿 실증 테스트 시나리오 작성</t>
    <phoneticPr fontId="2" type="noConversion"/>
  </si>
  <si>
    <t>파일럿 실증 테스트 데이터 생성</t>
    <phoneticPr fontId="2" type="noConversion"/>
  </si>
  <si>
    <t>파일럿 실증 테스트 진행</t>
    <phoneticPr fontId="2" type="noConversion"/>
  </si>
  <si>
    <t>테스트 만족도 조사</t>
    <phoneticPr fontId="2" type="noConversion"/>
  </si>
  <si>
    <t>보도자료 산출</t>
    <phoneticPr fontId="2" type="noConversion"/>
  </si>
  <si>
    <t>4.1.1</t>
    <phoneticPr fontId="2" type="noConversion"/>
  </si>
  <si>
    <t>1차 보도자료</t>
    <phoneticPr fontId="2" type="noConversion"/>
  </si>
  <si>
    <t>4.1.2</t>
  </si>
  <si>
    <t>2차 보도자료</t>
  </si>
  <si>
    <t>홍보 및 특허출원</t>
    <phoneticPr fontId="2" type="noConversion"/>
  </si>
  <si>
    <t>홍보 진행</t>
    <phoneticPr fontId="2" type="noConversion"/>
  </si>
  <si>
    <t>병원 홍보부스 운영</t>
    <phoneticPr fontId="2" type="noConversion"/>
  </si>
  <si>
    <t>4.2.1</t>
    <phoneticPr fontId="2" type="noConversion"/>
  </si>
  <si>
    <t>4.3.1</t>
    <phoneticPr fontId="2" type="noConversion"/>
  </si>
  <si>
    <t>4.3.2</t>
  </si>
  <si>
    <t>개발앱 배포</t>
    <phoneticPr fontId="2" type="noConversion"/>
  </si>
  <si>
    <t>안드로이드 / iOS</t>
    <phoneticPr fontId="2" type="noConversion"/>
  </si>
  <si>
    <t>전남대학교병원 PUSH 발송 개발 테스트 및 환자용앱 푸시 수신 확인 진행중</t>
    <phoneticPr fontId="2" type="noConversion"/>
  </si>
  <si>
    <t>보도자료</t>
    <phoneticPr fontId="2" type="noConversion"/>
  </si>
  <si>
    <t>특허 및 SW저작권</t>
    <phoneticPr fontId="2" type="noConversion"/>
  </si>
  <si>
    <t>특허 출원</t>
    <phoneticPr fontId="2" type="noConversion"/>
  </si>
  <si>
    <t>SW저작권 등록</t>
    <phoneticPr fontId="2" type="noConversion"/>
  </si>
  <si>
    <t>파모즈/전대산</t>
    <phoneticPr fontId="2" type="noConversion"/>
  </si>
  <si>
    <t>특허출원증</t>
    <phoneticPr fontId="2" type="noConversion"/>
  </si>
  <si>
    <t>SW저작권</t>
    <phoneticPr fontId="2" type="noConversion"/>
  </si>
  <si>
    <t>테스트시나리오</t>
    <phoneticPr fontId="2" type="noConversion"/>
  </si>
  <si>
    <t>API정의서</t>
    <phoneticPr fontId="2" type="noConversion"/>
  </si>
  <si>
    <t>화면 기획 설계</t>
    <phoneticPr fontId="2" type="noConversion"/>
  </si>
  <si>
    <t>1.5.1</t>
    <phoneticPr fontId="2" type="noConversion"/>
  </si>
  <si>
    <t>1.5.2</t>
  </si>
  <si>
    <t>환자용앱 AI챗봇 / AR길찾기 화면 설계</t>
    <phoneticPr fontId="2" type="noConversion"/>
  </si>
  <si>
    <t>관리자페이지 화면 설계</t>
    <phoneticPr fontId="2" type="noConversion"/>
  </si>
  <si>
    <t>API 설계</t>
    <phoneticPr fontId="2" type="noConversion"/>
  </si>
  <si>
    <t>화면설계서</t>
    <phoneticPr fontId="2" type="noConversion"/>
  </si>
  <si>
    <t>Native AR SDK 설계</t>
    <phoneticPr fontId="2" type="noConversion"/>
  </si>
  <si>
    <t>AI SDK 설계</t>
    <phoneticPr fontId="2" type="noConversion"/>
  </si>
  <si>
    <t>AR 연동</t>
    <phoneticPr fontId="2" type="noConversion"/>
  </si>
  <si>
    <t>AI 연동</t>
    <phoneticPr fontId="2" type="noConversion"/>
  </si>
  <si>
    <t>2.4.1</t>
    <phoneticPr fontId="2" type="noConversion"/>
  </si>
  <si>
    <t>2.4.2</t>
  </si>
  <si>
    <t>2.5.1</t>
    <phoneticPr fontId="2" type="noConversion"/>
  </si>
  <si>
    <t>2.5.2</t>
  </si>
  <si>
    <t>2.5.3</t>
  </si>
  <si>
    <t>관리자 페이지 기능 추가 개발</t>
    <phoneticPr fontId="2" type="noConversion"/>
  </si>
  <si>
    <t>관리자 페이지 메뉴 추가 개발</t>
    <phoneticPr fontId="2" type="noConversion"/>
  </si>
  <si>
    <t>관리자페이지</t>
    <phoneticPr fontId="2" type="noConversion"/>
  </si>
  <si>
    <t>기존 관리자페이지에 메뉴 추가 (Web)</t>
    <phoneticPr fontId="2" type="noConversion"/>
  </si>
  <si>
    <t>0.2</t>
    <phoneticPr fontId="3" type="noConversion"/>
  </si>
  <si>
    <t>2026.05.27</t>
    <phoneticPr fontId="2" type="noConversion"/>
  </si>
  <si>
    <t>내용 추가</t>
    <phoneticPr fontId="2" type="noConversion"/>
  </si>
  <si>
    <t>개발</t>
    <phoneticPr fontId="2" type="noConversion"/>
  </si>
  <si>
    <t>분석/설계, 개발 Task 항목 추가</t>
    <phoneticPr fontId="2" type="noConversion"/>
  </si>
  <si>
    <t>레몬/병원</t>
    <phoneticPr fontId="2" type="noConversion"/>
  </si>
  <si>
    <t>레몬/병원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</si>
</sst>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1" formatCode="_-* #,##0_-;\-* #,##0_-;_-* &quot;-&quot;_-;_-@_-"/>
    <numFmt numFmtId="43" formatCode="_-* #,##0.00_-;\-* #,##0.00_-;_-* &quot;-&quot;??_-;_-@_-"/>
    <numFmt numFmtId="176" formatCode="#,##0;[Red]&quot;-&quot;#,##0"/>
    <numFmt numFmtId="177" formatCode="&quot;$&quot;#,##0.00000_);\(&quot;$&quot;#,##0.00000\)"/>
    <numFmt numFmtId="178" formatCode="0.00\K"/>
    <numFmt numFmtId="179" formatCode="_-* #,##0\ _D_M_-;\-* #,##0\ _D_M_-;_-* &quot;-&quot;\ _D_M_-;_-@_-"/>
    <numFmt numFmtId="180" formatCode="_-* #,##0.00\ _D_M_-;\-* #,##0.00\ _D_M_-;_-* &quot;-&quot;??\ _D_M_-;_-@_-"/>
    <numFmt numFmtId="181" formatCode="0.0%_);\(0.0%\)"/>
    <numFmt numFmtId="182" formatCode="&quot;$&quot;#,##0.0_);\(&quot;$&quot;#,##0.0\)"/>
    <numFmt numFmtId="183" formatCode="_ 0.0%_ ;[Red]\(0.0%\)_ ;_ * &quot;-&quot;??_ ;_ @_ "/>
    <numFmt numFmtId="184" formatCode="_-* #,##0\ &quot;DM&quot;_-;\-* #,##0\ &quot;DM&quot;_-;_-* &quot;-&quot;\ &quot;DM&quot;_-;_-@_-"/>
    <numFmt numFmtId="185" formatCode="_-* #,##0.00\ &quot;DM&quot;_-;\-* #,##0.00\ &quot;DM&quot;_-;_-* &quot;-&quot;??\ &quot;DM&quot;_-;_-@_-"/>
    <numFmt numFmtId="186" formatCode="yy/mm/dd"/>
    <numFmt numFmtId="187" formatCode="#.###&quot;일&quot;"/>
    <numFmt numFmtId="188" formatCode="#&quot;일&quot;"/>
    <numFmt numFmtId="189" formatCode="#,##0.00;[Red]#,##0.00"/>
    <numFmt numFmtId="190" formatCode="#,##0.00_ ;[Red]\-#,##0.00\ "/>
    <numFmt numFmtId="191" formatCode="yy\/mm\/dd&quot;(&quot;aaa&quot;)&quot;"/>
    <numFmt numFmtId="192" formatCode="yyyy\.\ m\.\ d"/>
    <numFmt numFmtId="193" formatCode="mm&quot;월&quot;\ dd&quot;일&quot;"/>
  </numFmts>
  <fonts count="55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명조"/>
      <family val="3"/>
      <charset val="129"/>
    </font>
    <font>
      <sz val="10"/>
      <color indexed="8"/>
      <name val="맑은 고딕"/>
      <family val="3"/>
      <charset val="129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indexed="8"/>
      <name val="ＭＳ Ｐゴシック"/>
      <family val="2"/>
    </font>
    <font>
      <b/>
      <sz val="10"/>
      <name val="Helv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11"/>
      <name val="Helv"/>
      <family val="2"/>
    </font>
    <font>
      <sz val="8"/>
      <name val="Times New Roman"/>
      <family val="1"/>
    </font>
    <font>
      <sz val="12"/>
      <color indexed="9"/>
      <name val="Arial"/>
      <family val="2"/>
    </font>
    <font>
      <sz val="10"/>
      <name val="굴림"/>
      <family val="3"/>
      <charset val="129"/>
    </font>
    <font>
      <sz val="8"/>
      <name val="굴림"/>
      <family val="3"/>
      <charset val="129"/>
    </font>
    <font>
      <sz val="11"/>
      <color theme="1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0"/>
      <color theme="0"/>
      <name val="나눔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0"/>
      <color theme="0"/>
      <name val="Calibri"/>
      <family val="2"/>
    </font>
    <font>
      <b/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55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u/>
      <sz val="10"/>
      <color theme="3"/>
      <name val="맑은 고딕"/>
      <family val="3"/>
      <charset val="129"/>
      <scheme val="minor"/>
    </font>
    <font>
      <b/>
      <u/>
      <sz val="9"/>
      <color theme="3"/>
      <name val="맑은 고딕"/>
      <family val="3"/>
      <charset val="129"/>
      <scheme val="minor"/>
    </font>
    <font>
      <u/>
      <sz val="8"/>
      <color theme="3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10"/>
      <color indexed="55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8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sz val="12"/>
      <name val="맑은 고딕"/>
      <family val="3"/>
      <charset val="129"/>
    </font>
    <font>
      <sz val="11"/>
      <name val="맑은 고딕"/>
      <family val="3"/>
      <charset val="129"/>
      <scheme val="major"/>
    </font>
    <font>
      <i/>
      <sz val="11"/>
      <color indexed="48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1">
    <xf numFmtId="0" fontId="0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1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8" fillId="0" borderId="0">
      <alignment vertical="center"/>
    </xf>
    <xf numFmtId="0" fontId="1" fillId="0" borderId="0"/>
    <xf numFmtId="0" fontId="1" fillId="0" borderId="0"/>
    <xf numFmtId="0" fontId="9" fillId="0" borderId="0">
      <alignment vertical="center"/>
    </xf>
    <xf numFmtId="0" fontId="11" fillId="0" borderId="0"/>
    <xf numFmtId="0" fontId="10" fillId="0" borderId="0"/>
    <xf numFmtId="0" fontId="12" fillId="0" borderId="0"/>
    <xf numFmtId="0" fontId="1" fillId="0" borderId="0" applyFill="0" applyBorder="0" applyAlignment="0"/>
    <xf numFmtId="0" fontId="13" fillId="0" borderId="0"/>
    <xf numFmtId="176" fontId="14" fillId="0" borderId="0" applyFont="0" applyFill="0" applyBorder="0" applyAlignment="0" applyProtection="0"/>
    <xf numFmtId="177" fontId="1" fillId="0" borderId="0"/>
    <xf numFmtId="43" fontId="1" fillId="0" borderId="0" applyFont="0" applyFill="0" applyBorder="0" applyAlignment="0" applyProtection="0"/>
    <xf numFmtId="0" fontId="5" fillId="0" borderId="2" applyNumberFormat="0" applyFont="0" applyFill="0" applyAlignment="0" applyProtection="0">
      <alignment horizont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8" fontId="1" fillId="0" borderId="0"/>
    <xf numFmtId="179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1" fillId="0" borderId="0"/>
    <xf numFmtId="38" fontId="15" fillId="2" borderId="0" applyNumberFormat="0" applyBorder="0" applyAlignment="0" applyProtection="0"/>
    <xf numFmtId="0" fontId="16" fillId="0" borderId="0">
      <alignment horizontal="left"/>
    </xf>
    <xf numFmtId="0" fontId="17" fillId="0" borderId="3" applyNumberFormat="0" applyAlignment="0" applyProtection="0">
      <alignment horizontal="left" vertical="center"/>
    </xf>
    <xf numFmtId="0" fontId="17" fillId="0" borderId="4">
      <alignment horizontal="left" vertical="center"/>
    </xf>
    <xf numFmtId="0" fontId="18" fillId="0" borderId="0" applyNumberFormat="0" applyFill="0" applyBorder="0" applyAlignment="0" applyProtection="0">
      <alignment vertical="top"/>
      <protection locked="0"/>
    </xf>
    <xf numFmtId="10" fontId="15" fillId="3" borderId="2" applyNumberFormat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9" fillId="0" borderId="5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2" fontId="1" fillId="0" borderId="0"/>
    <xf numFmtId="0" fontId="20" fillId="0" borderId="0"/>
    <xf numFmtId="10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21" fillId="0" borderId="6" applyNumberFormat="0" applyBorder="0" applyAlignment="0"/>
    <xf numFmtId="0" fontId="5" fillId="0" borderId="0"/>
    <xf numFmtId="0" fontId="19" fillId="0" borderId="0"/>
    <xf numFmtId="184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 applyAlignment="0">
      <alignment vertical="top" wrapText="1"/>
      <protection locked="0"/>
    </xf>
    <xf numFmtId="0" fontId="25" fillId="0" borderId="0" applyAlignment="0">
      <alignment vertical="top" wrapText="1"/>
      <protection locked="0"/>
    </xf>
    <xf numFmtId="9" fontId="26" fillId="0" borderId="0" applyFont="0" applyFill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0" fontId="30" fillId="4" borderId="2" xfId="0" quotePrefix="1" applyFont="1" applyFill="1" applyBorder="1" applyAlignment="1" applyProtection="1">
      <alignment horizontal="right" vertical="center"/>
      <protection locked="0"/>
    </xf>
    <xf numFmtId="0" fontId="30" fillId="5" borderId="2" xfId="0" quotePrefix="1" applyFont="1" applyFill="1" applyBorder="1" applyAlignment="1" applyProtection="1">
      <alignment horizontal="right" vertical="center"/>
      <protection locked="0"/>
    </xf>
    <xf numFmtId="188" fontId="33" fillId="5" borderId="2" xfId="91" applyNumberFormat="1" applyFont="1" applyFill="1" applyBorder="1" applyAlignment="1">
      <alignment horizontal="center" vertical="center"/>
    </xf>
    <xf numFmtId="191" fontId="33" fillId="5" borderId="2" xfId="99" applyNumberFormat="1" applyFont="1" applyFill="1" applyBorder="1" applyAlignment="1">
      <alignment horizontal="center" vertical="center"/>
    </xf>
    <xf numFmtId="9" fontId="35" fillId="5" borderId="2" xfId="91" applyNumberFormat="1" applyFont="1" applyFill="1" applyBorder="1" applyAlignment="1" applyProtection="1">
      <alignment horizontal="center" vertical="center"/>
      <protection locked="0"/>
    </xf>
    <xf numFmtId="0" fontId="35" fillId="5" borderId="2" xfId="91" applyFont="1" applyFill="1" applyBorder="1" applyAlignment="1" applyProtection="1">
      <alignment horizontal="center" vertical="center" wrapText="1"/>
      <protection locked="0"/>
    </xf>
    <xf numFmtId="188" fontId="33" fillId="4" borderId="2" xfId="91" applyNumberFormat="1" applyFont="1" applyFill="1" applyBorder="1" applyAlignment="1">
      <alignment horizontal="center" vertical="center"/>
    </xf>
    <xf numFmtId="191" fontId="33" fillId="4" borderId="2" xfId="99" applyNumberFormat="1" applyFont="1" applyFill="1" applyBorder="1" applyAlignment="1">
      <alignment horizontal="center" vertical="center"/>
    </xf>
    <xf numFmtId="0" fontId="38" fillId="4" borderId="2" xfId="57" applyFont="1" applyFill="1" applyBorder="1" applyAlignment="1" applyProtection="1">
      <alignment horizontal="center" vertical="center"/>
      <protection locked="0"/>
    </xf>
    <xf numFmtId="0" fontId="38" fillId="4" borderId="2" xfId="57" applyFont="1" applyFill="1" applyBorder="1" applyAlignment="1" applyProtection="1">
      <alignment horizontal="center" vertical="center" wrapText="1"/>
      <protection locked="0"/>
    </xf>
    <xf numFmtId="191" fontId="36" fillId="0" borderId="2" xfId="99" applyNumberFormat="1" applyFont="1" applyFill="1" applyBorder="1" applyAlignment="1">
      <alignment horizontal="center" vertical="center"/>
    </xf>
    <xf numFmtId="9" fontId="32" fillId="5" borderId="2" xfId="56" applyNumberFormat="1" applyFont="1" applyFill="1" applyBorder="1" applyAlignment="1" applyProtection="1">
      <alignment horizontal="right" vertical="center"/>
    </xf>
    <xf numFmtId="189" fontId="33" fillId="5" borderId="2" xfId="91" applyNumberFormat="1" applyFont="1" applyFill="1" applyBorder="1" applyAlignment="1" applyProtection="1">
      <alignment horizontal="center" vertical="center"/>
    </xf>
    <xf numFmtId="190" fontId="33" fillId="5" borderId="2" xfId="91" applyNumberFormat="1" applyFont="1" applyFill="1" applyBorder="1" applyAlignment="1" applyProtection="1">
      <alignment horizontal="center" vertical="center"/>
    </xf>
    <xf numFmtId="0" fontId="34" fillId="5" borderId="2" xfId="91" applyFont="1" applyFill="1" applyBorder="1" applyAlignment="1" applyProtection="1">
      <alignment horizontal="center" vertical="center"/>
    </xf>
    <xf numFmtId="0" fontId="33" fillId="0" borderId="0" xfId="91" applyFont="1" applyFill="1" applyAlignment="1" applyProtection="1">
      <alignment vertical="center"/>
      <protection locked="0"/>
    </xf>
    <xf numFmtId="189" fontId="33" fillId="4" borderId="2" xfId="91" applyNumberFormat="1" applyFont="1" applyFill="1" applyBorder="1" applyAlignment="1" applyProtection="1">
      <alignment horizontal="center" vertical="center"/>
    </xf>
    <xf numFmtId="190" fontId="33" fillId="4" borderId="2" xfId="91" applyNumberFormat="1" applyFont="1" applyFill="1" applyBorder="1" applyAlignment="1" applyProtection="1">
      <alignment horizontal="center" vertical="center"/>
    </xf>
    <xf numFmtId="0" fontId="34" fillId="4" borderId="2" xfId="91" applyFont="1" applyFill="1" applyBorder="1" applyAlignment="1" applyProtection="1">
      <alignment horizontal="center" vertical="center"/>
    </xf>
    <xf numFmtId="188" fontId="33" fillId="0" borderId="2" xfId="91" applyNumberFormat="1" applyFont="1" applyFill="1" applyBorder="1" applyAlignment="1">
      <alignment horizontal="center" vertical="center"/>
    </xf>
    <xf numFmtId="0" fontId="36" fillId="0" borderId="0" xfId="91" applyFont="1" applyFill="1" applyAlignment="1" applyProtection="1">
      <alignment vertical="center"/>
      <protection locked="0"/>
    </xf>
    <xf numFmtId="0" fontId="39" fillId="4" borderId="2" xfId="57" applyFont="1" applyFill="1" applyBorder="1" applyAlignment="1" applyProtection="1">
      <alignment horizontal="center" vertical="center"/>
      <protection locked="0"/>
    </xf>
    <xf numFmtId="0" fontId="29" fillId="0" borderId="2" xfId="0" quotePrefix="1" applyFont="1" applyFill="1" applyBorder="1" applyAlignment="1" applyProtection="1">
      <alignment horizontal="right" vertical="center"/>
      <protection locked="0"/>
    </xf>
    <xf numFmtId="0" fontId="29" fillId="0" borderId="2" xfId="1" applyFont="1" applyFill="1" applyBorder="1" applyAlignment="1" applyProtection="1">
      <alignment horizontal="left" vertical="top"/>
      <protection locked="0"/>
    </xf>
    <xf numFmtId="189" fontId="36" fillId="0" borderId="2" xfId="91" applyNumberFormat="1" applyFont="1" applyFill="1" applyBorder="1" applyAlignment="1">
      <alignment horizontal="center" vertical="center"/>
    </xf>
    <xf numFmtId="0" fontId="37" fillId="0" borderId="2" xfId="57" applyFont="1" applyFill="1" applyBorder="1" applyAlignment="1" applyProtection="1">
      <alignment horizontal="center" vertical="center"/>
      <protection locked="0"/>
    </xf>
    <xf numFmtId="0" fontId="37" fillId="0" borderId="2" xfId="57" applyFont="1" applyFill="1" applyBorder="1" applyAlignment="1" applyProtection="1">
      <alignment horizontal="center" vertical="center" wrapText="1"/>
      <protection locked="0"/>
    </xf>
    <xf numFmtId="0" fontId="39" fillId="0" borderId="2" xfId="57" applyFont="1" applyFill="1" applyBorder="1" applyAlignment="1" applyProtection="1">
      <alignment horizontal="center" vertical="center"/>
      <protection locked="0"/>
    </xf>
    <xf numFmtId="0" fontId="40" fillId="0" borderId="2" xfId="91" applyFont="1" applyFill="1" applyBorder="1" applyAlignment="1" applyProtection="1">
      <alignment horizontal="center" vertical="center"/>
      <protection locked="0"/>
    </xf>
    <xf numFmtId="0" fontId="38" fillId="0" borderId="0" xfId="57" applyFont="1" applyFill="1" applyBorder="1" applyAlignment="1" applyProtection="1">
      <alignment horizontal="center" vertical="center" wrapText="1"/>
      <protection locked="0"/>
    </xf>
    <xf numFmtId="0" fontId="37" fillId="0" borderId="0" xfId="57" applyFont="1" applyFill="1" applyBorder="1" applyAlignment="1" applyProtection="1">
      <alignment horizontal="center" vertical="center" wrapText="1"/>
      <protection locked="0"/>
    </xf>
    <xf numFmtId="0" fontId="45" fillId="0" borderId="9" xfId="91" applyFont="1" applyFill="1" applyBorder="1" applyAlignment="1" applyProtection="1">
      <alignment horizontal="center" vertical="center" wrapText="1"/>
      <protection locked="0"/>
    </xf>
    <xf numFmtId="0" fontId="35" fillId="0" borderId="9" xfId="91" applyFont="1" applyFill="1" applyBorder="1" applyAlignment="1" applyProtection="1">
      <alignment horizontal="center" vertical="center" wrapText="1"/>
      <protection locked="0"/>
    </xf>
    <xf numFmtId="0" fontId="33" fillId="0" borderId="0" xfId="91" applyFont="1" applyFill="1" applyBorder="1" applyAlignment="1" applyProtection="1">
      <alignment vertical="center"/>
      <protection locked="0"/>
    </xf>
    <xf numFmtId="191" fontId="42" fillId="0" borderId="0" xfId="99" applyNumberFormat="1" applyFont="1" applyFill="1" applyBorder="1" applyAlignment="1">
      <alignment horizontal="center" vertical="center"/>
    </xf>
    <xf numFmtId="191" fontId="43" fillId="0" borderId="0" xfId="99" applyNumberFormat="1" applyFont="1" applyFill="1" applyBorder="1" applyAlignment="1">
      <alignment horizontal="center" vertical="center"/>
    </xf>
    <xf numFmtId="191" fontId="44" fillId="0" borderId="0" xfId="99" applyNumberFormat="1" applyFont="1" applyFill="1" applyBorder="1" applyAlignment="1">
      <alignment horizontal="center" vertical="center" wrapText="1"/>
    </xf>
    <xf numFmtId="0" fontId="34" fillId="0" borderId="2" xfId="91" applyFont="1" applyFill="1" applyBorder="1" applyAlignment="1" applyProtection="1">
      <alignment horizontal="center" vertical="center"/>
    </xf>
    <xf numFmtId="0" fontId="29" fillId="0" borderId="2" xfId="0" applyFont="1" applyFill="1" applyBorder="1" applyAlignment="1" applyProtection="1">
      <alignment horizontal="left" vertical="center"/>
      <protection locked="0"/>
    </xf>
    <xf numFmtId="189" fontId="36" fillId="0" borderId="2" xfId="91" applyNumberFormat="1" applyFont="1" applyFill="1" applyBorder="1" applyAlignment="1" applyProtection="1">
      <alignment horizontal="center" vertical="center"/>
    </xf>
    <xf numFmtId="190" fontId="36" fillId="0" borderId="2" xfId="91" applyNumberFormat="1" applyFont="1" applyFill="1" applyBorder="1" applyAlignment="1" applyProtection="1">
      <alignment horizontal="center" vertical="center"/>
    </xf>
    <xf numFmtId="0" fontId="29" fillId="0" borderId="2" xfId="0" quotePrefix="1" applyFont="1" applyFill="1" applyBorder="1" applyAlignment="1" applyProtection="1">
      <alignment horizontal="center" vertical="center"/>
      <protection locked="0"/>
    </xf>
    <xf numFmtId="0" fontId="36" fillId="0" borderId="0" xfId="91" applyFont="1" applyFill="1" applyAlignment="1" applyProtection="1">
      <alignment vertical="center"/>
    </xf>
    <xf numFmtId="0" fontId="36" fillId="0" borderId="0" xfId="91" applyFont="1" applyFill="1" applyAlignment="1" applyProtection="1">
      <alignment vertical="center" wrapText="1"/>
    </xf>
    <xf numFmtId="0" fontId="36" fillId="0" borderId="0" xfId="91" applyFont="1" applyFill="1" applyAlignment="1" applyProtection="1">
      <alignment horizontal="right" vertical="center"/>
    </xf>
    <xf numFmtId="187" fontId="36" fillId="0" borderId="0" xfId="91" applyNumberFormat="1" applyFont="1" applyFill="1" applyAlignment="1" applyProtection="1">
      <alignment horizontal="center" vertical="center"/>
    </xf>
    <xf numFmtId="186" fontId="36" fillId="0" borderId="0" xfId="91" applyNumberFormat="1" applyFont="1" applyFill="1" applyAlignment="1" applyProtection="1">
      <alignment horizontal="center" vertical="center"/>
    </xf>
    <xf numFmtId="0" fontId="36" fillId="0" borderId="0" xfId="91" applyFont="1" applyFill="1" applyAlignment="1" applyProtection="1">
      <alignment horizontal="center" vertical="center"/>
    </xf>
    <xf numFmtId="0" fontId="36" fillId="0" borderId="0" xfId="91" applyFont="1" applyFill="1" applyAlignment="1" applyProtection="1">
      <alignment horizontal="center" vertical="center"/>
      <protection locked="0"/>
    </xf>
    <xf numFmtId="0" fontId="40" fillId="0" borderId="0" xfId="91" applyFont="1" applyFill="1" applyAlignment="1" applyProtection="1">
      <alignment horizontal="center" vertical="center"/>
      <protection locked="0"/>
    </xf>
    <xf numFmtId="0" fontId="40" fillId="0" borderId="0" xfId="91" applyFont="1" applyFill="1" applyAlignment="1" applyProtection="1">
      <alignment horizontal="center" vertical="center" wrapText="1"/>
      <protection locked="0"/>
    </xf>
    <xf numFmtId="0" fontId="30" fillId="8" borderId="2" xfId="0" applyFont="1" applyFill="1" applyBorder="1" applyAlignment="1" applyProtection="1">
      <alignment horizontal="left" vertical="center"/>
      <protection locked="0"/>
    </xf>
    <xf numFmtId="188" fontId="33" fillId="8" borderId="2" xfId="91" applyNumberFormat="1" applyFont="1" applyFill="1" applyBorder="1" applyAlignment="1">
      <alignment horizontal="center" vertical="center"/>
    </xf>
    <xf numFmtId="191" fontId="33" fillId="8" borderId="2" xfId="99" applyNumberFormat="1" applyFont="1" applyFill="1" applyBorder="1" applyAlignment="1">
      <alignment horizontal="center" vertical="center"/>
    </xf>
    <xf numFmtId="189" fontId="33" fillId="8" borderId="2" xfId="91" applyNumberFormat="1" applyFont="1" applyFill="1" applyBorder="1" applyAlignment="1" applyProtection="1">
      <alignment horizontal="center" vertical="center"/>
    </xf>
    <xf numFmtId="190" fontId="33" fillId="8" borderId="2" xfId="91" applyNumberFormat="1" applyFont="1" applyFill="1" applyBorder="1" applyAlignment="1" applyProtection="1">
      <alignment horizontal="center" vertical="center"/>
    </xf>
    <xf numFmtId="0" fontId="34" fillId="8" borderId="2" xfId="91" applyFont="1" applyFill="1" applyBorder="1" applyAlignment="1" applyProtection="1">
      <alignment horizontal="center" vertical="center"/>
    </xf>
    <xf numFmtId="0" fontId="35" fillId="8" borderId="2" xfId="91" applyFont="1" applyFill="1" applyBorder="1" applyAlignment="1" applyProtection="1">
      <alignment horizontal="center" vertical="center"/>
      <protection locked="0"/>
    </xf>
    <xf numFmtId="0" fontId="30" fillId="8" borderId="2" xfId="0" quotePrefix="1" applyFont="1" applyFill="1" applyBorder="1" applyAlignment="1" applyProtection="1">
      <alignment horizontal="right" vertical="center"/>
      <protection locked="0"/>
    </xf>
    <xf numFmtId="0" fontId="38" fillId="8" borderId="2" xfId="57" applyFont="1" applyFill="1" applyBorder="1" applyAlignment="1" applyProtection="1">
      <alignment horizontal="center" vertical="center" wrapText="1"/>
      <protection locked="0"/>
    </xf>
    <xf numFmtId="0" fontId="29" fillId="0" borderId="2" xfId="0" applyFont="1" applyFill="1" applyBorder="1" applyAlignment="1" applyProtection="1">
      <alignment vertical="center"/>
      <protection locked="0"/>
    </xf>
    <xf numFmtId="0" fontId="46" fillId="0" borderId="2" xfId="91" applyFont="1" applyFill="1" applyBorder="1" applyAlignment="1" applyProtection="1">
      <alignment horizontal="center" vertical="center"/>
    </xf>
    <xf numFmtId="192" fontId="47" fillId="0" borderId="0" xfId="0" applyNumberFormat="1" applyFont="1" applyAlignment="1"/>
    <xf numFmtId="0" fontId="47" fillId="0" borderId="0" xfId="0" applyFont="1" applyAlignment="1"/>
    <xf numFmtId="9" fontId="33" fillId="8" borderId="2" xfId="93" applyNumberFormat="1" applyFont="1" applyFill="1" applyBorder="1" applyAlignment="1">
      <alignment horizontal="right" vertical="center"/>
    </xf>
    <xf numFmtId="9" fontId="33" fillId="4" borderId="2" xfId="93" applyNumberFormat="1" applyFont="1" applyFill="1" applyBorder="1" applyAlignment="1">
      <alignment horizontal="right" vertical="center"/>
    </xf>
    <xf numFmtId="0" fontId="33" fillId="0" borderId="2" xfId="93" applyFont="1" applyFill="1" applyBorder="1" applyAlignment="1">
      <alignment horizontal="right" vertical="center"/>
    </xf>
    <xf numFmtId="9" fontId="36" fillId="0" borderId="2" xfId="93" applyNumberFormat="1" applyFont="1" applyFill="1" applyBorder="1" applyAlignment="1">
      <alignment horizontal="right" vertical="center"/>
    </xf>
    <xf numFmtId="0" fontId="37" fillId="0" borderId="2" xfId="57" applyFont="1" applyFill="1" applyBorder="1" applyAlignment="1" applyProtection="1">
      <alignment vertical="center" wrapText="1"/>
      <protection locked="0"/>
    </xf>
    <xf numFmtId="0" fontId="38" fillId="8" borderId="2" xfId="57" applyFont="1" applyFill="1" applyBorder="1" applyAlignment="1" applyProtection="1">
      <alignment vertical="center" wrapText="1"/>
      <protection locked="0"/>
    </xf>
    <xf numFmtId="0" fontId="38" fillId="4" borderId="2" xfId="57" applyFont="1" applyFill="1" applyBorder="1" applyAlignment="1" applyProtection="1">
      <alignment vertical="center" wrapText="1"/>
      <protection locked="0"/>
    </xf>
    <xf numFmtId="0" fontId="36" fillId="0" borderId="2" xfId="91" applyFont="1" applyFill="1" applyBorder="1" applyAlignment="1" applyProtection="1">
      <alignment horizontal="center" vertical="center"/>
    </xf>
    <xf numFmtId="0" fontId="36" fillId="0" borderId="2" xfId="91" applyFont="1" applyFill="1" applyBorder="1" applyAlignment="1" applyProtection="1">
      <alignment vertical="center"/>
    </xf>
    <xf numFmtId="0" fontId="48" fillId="0" borderId="2" xfId="91" applyFont="1" applyFill="1" applyBorder="1" applyAlignment="1" applyProtection="1">
      <alignment horizontal="center" vertical="center"/>
      <protection locked="0"/>
    </xf>
    <xf numFmtId="0" fontId="30" fillId="8" borderId="2" xfId="91" applyFont="1" applyFill="1" applyBorder="1" applyAlignment="1" applyProtection="1">
      <alignment horizontal="center" vertical="center"/>
      <protection locked="0"/>
    </xf>
    <xf numFmtId="0" fontId="29" fillId="0" borderId="2" xfId="91" applyFont="1" applyFill="1" applyBorder="1" applyAlignment="1" applyProtection="1">
      <alignment horizontal="center" vertical="center"/>
      <protection locked="0"/>
    </xf>
    <xf numFmtId="0" fontId="1" fillId="0" borderId="0" xfId="100"/>
    <xf numFmtId="0" fontId="50" fillId="0" borderId="0" xfId="100" applyFont="1"/>
    <xf numFmtId="0" fontId="1" fillId="0" borderId="0" xfId="1"/>
    <xf numFmtId="49" fontId="49" fillId="0" borderId="0" xfId="100" applyNumberFormat="1" applyFont="1"/>
    <xf numFmtId="49" fontId="51" fillId="10" borderId="23" xfId="100" applyNumberFormat="1" applyFont="1" applyFill="1" applyBorder="1" applyAlignment="1">
      <alignment horizontal="center" vertical="center"/>
    </xf>
    <xf numFmtId="49" fontId="51" fillId="10" borderId="24" xfId="100" applyNumberFormat="1" applyFont="1" applyFill="1" applyBorder="1" applyAlignment="1">
      <alignment horizontal="center" vertical="center"/>
    </xf>
    <xf numFmtId="49" fontId="51" fillId="10" borderId="25" xfId="100" applyNumberFormat="1" applyFont="1" applyFill="1" applyBorder="1" applyAlignment="1">
      <alignment horizontal="center" vertical="center"/>
    </xf>
    <xf numFmtId="49" fontId="50" fillId="0" borderId="26" xfId="100" applyNumberFormat="1" applyFont="1" applyBorder="1" applyAlignment="1">
      <alignment horizontal="center" vertical="center"/>
    </xf>
    <xf numFmtId="49" fontId="53" fillId="0" borderId="2" xfId="100" applyNumberFormat="1" applyFont="1" applyBorder="1" applyAlignment="1">
      <alignment horizontal="center" vertical="center"/>
    </xf>
    <xf numFmtId="49" fontId="53" fillId="0" borderId="2" xfId="100" applyNumberFormat="1" applyFont="1" applyBorder="1" applyAlignment="1">
      <alignment horizontal="left" vertical="center"/>
    </xf>
    <xf numFmtId="49" fontId="50" fillId="0" borderId="2" xfId="100" applyNumberFormat="1" applyFont="1" applyBorder="1" applyAlignment="1">
      <alignment horizontal="center"/>
    </xf>
    <xf numFmtId="49" fontId="50" fillId="0" borderId="27" xfId="100" applyNumberFormat="1" applyFont="1" applyBorder="1" applyAlignment="1">
      <alignment horizontal="center"/>
    </xf>
    <xf numFmtId="49" fontId="50" fillId="0" borderId="2" xfId="100" applyNumberFormat="1" applyFont="1" applyBorder="1" applyAlignment="1">
      <alignment horizontal="center" vertical="center"/>
    </xf>
    <xf numFmtId="49" fontId="50" fillId="0" borderId="2" xfId="100" applyNumberFormat="1" applyFont="1" applyBorder="1" applyAlignment="1">
      <alignment horizontal="left" vertical="center" wrapText="1"/>
    </xf>
    <xf numFmtId="49" fontId="50" fillId="0" borderId="2" xfId="100" applyNumberFormat="1" applyFont="1" applyBorder="1" applyAlignment="1">
      <alignment horizontal="left" vertical="center"/>
    </xf>
    <xf numFmtId="49" fontId="49" fillId="0" borderId="28" xfId="100" applyNumberFormat="1" applyFont="1" applyBorder="1"/>
    <xf numFmtId="49" fontId="53" fillId="0" borderId="2" xfId="100" applyNumberFormat="1" applyFont="1" applyBorder="1" applyAlignment="1">
      <alignment vertical="center"/>
    </xf>
    <xf numFmtId="49" fontId="52" fillId="0" borderId="2" xfId="100" applyNumberFormat="1" applyFont="1" applyBorder="1" applyAlignment="1">
      <alignment horizontal="center"/>
    </xf>
    <xf numFmtId="49" fontId="50" fillId="0" borderId="27" xfId="100" applyNumberFormat="1" applyFont="1" applyBorder="1" applyAlignment="1">
      <alignment horizontal="center" vertical="center"/>
    </xf>
    <xf numFmtId="49" fontId="54" fillId="0" borderId="26" xfId="100" applyNumberFormat="1" applyFont="1" applyBorder="1" applyAlignment="1">
      <alignment horizontal="center"/>
    </xf>
    <xf numFmtId="49" fontId="54" fillId="0" borderId="27" xfId="100" applyNumberFormat="1" applyFont="1" applyBorder="1" applyAlignment="1">
      <alignment horizontal="center"/>
    </xf>
    <xf numFmtId="49" fontId="54" fillId="0" borderId="2" xfId="100" applyNumberFormat="1" applyFont="1" applyBorder="1"/>
    <xf numFmtId="49" fontId="54" fillId="0" borderId="29" xfId="100" applyNumberFormat="1" applyFont="1" applyBorder="1" applyAlignment="1">
      <alignment horizontal="center"/>
    </xf>
    <xf numFmtId="49" fontId="50" fillId="0" borderId="30" xfId="100" applyNumberFormat="1" applyFont="1" applyBorder="1" applyAlignment="1">
      <alignment horizontal="center" vertical="center"/>
    </xf>
    <xf numFmtId="49" fontId="54" fillId="0" borderId="30" xfId="100" applyNumberFormat="1" applyFont="1" applyBorder="1"/>
    <xf numFmtId="49" fontId="54" fillId="0" borderId="31" xfId="100" applyNumberFormat="1" applyFont="1" applyBorder="1" applyAlignment="1">
      <alignment horizontal="center"/>
    </xf>
    <xf numFmtId="49" fontId="49" fillId="0" borderId="0" xfId="100" applyNumberFormat="1" applyFont="1" applyAlignment="1">
      <alignment horizontal="center"/>
    </xf>
    <xf numFmtId="0" fontId="49" fillId="0" borderId="0" xfId="1" applyFont="1" applyAlignment="1">
      <alignment horizontal="center"/>
    </xf>
    <xf numFmtId="49" fontId="51" fillId="10" borderId="16" xfId="100" applyNumberFormat="1" applyFont="1" applyFill="1" applyBorder="1" applyAlignment="1">
      <alignment horizontal="center"/>
    </xf>
    <xf numFmtId="49" fontId="51" fillId="10" borderId="7" xfId="100" applyNumberFormat="1" applyFont="1" applyFill="1" applyBorder="1" applyAlignment="1">
      <alignment horizontal="center"/>
    </xf>
    <xf numFmtId="49" fontId="52" fillId="0" borderId="8" xfId="100" applyNumberFormat="1" applyFont="1" applyBorder="1" applyAlignment="1">
      <alignment horizontal="left"/>
    </xf>
    <xf numFmtId="49" fontId="52" fillId="0" borderId="4" xfId="100" applyNumberFormat="1" applyFont="1" applyBorder="1" applyAlignment="1">
      <alignment horizontal="left"/>
    </xf>
    <xf numFmtId="49" fontId="52" fillId="0" borderId="17" xfId="100" applyNumberFormat="1" applyFont="1" applyBorder="1" applyAlignment="1">
      <alignment horizontal="left"/>
    </xf>
    <xf numFmtId="49" fontId="51" fillId="10" borderId="18" xfId="100" applyNumberFormat="1" applyFont="1" applyFill="1" applyBorder="1" applyAlignment="1">
      <alignment horizontal="center"/>
    </xf>
    <xf numFmtId="49" fontId="51" fillId="10" borderId="19" xfId="100" applyNumberFormat="1" applyFont="1" applyFill="1" applyBorder="1" applyAlignment="1">
      <alignment horizontal="center"/>
    </xf>
    <xf numFmtId="49" fontId="52" fillId="0" borderId="20" xfId="100" applyNumberFormat="1" applyFont="1" applyBorder="1" applyAlignment="1">
      <alignment horizontal="left"/>
    </xf>
    <xf numFmtId="49" fontId="52" fillId="0" borderId="21" xfId="100" applyNumberFormat="1" applyFont="1" applyBorder="1" applyAlignment="1">
      <alignment horizontal="left"/>
    </xf>
    <xf numFmtId="49" fontId="52" fillId="0" borderId="22" xfId="100" applyNumberFormat="1" applyFont="1" applyBorder="1" applyAlignment="1">
      <alignment horizontal="left"/>
    </xf>
    <xf numFmtId="49" fontId="51" fillId="10" borderId="11" xfId="100" applyNumberFormat="1" applyFont="1" applyFill="1" applyBorder="1" applyAlignment="1">
      <alignment horizontal="center"/>
    </xf>
    <xf numFmtId="49" fontId="51" fillId="10" borderId="12" xfId="100" applyNumberFormat="1" applyFont="1" applyFill="1" applyBorder="1" applyAlignment="1">
      <alignment horizontal="center"/>
    </xf>
    <xf numFmtId="49" fontId="52" fillId="0" borderId="13" xfId="100" applyNumberFormat="1" applyFont="1" applyBorder="1" applyAlignment="1">
      <alignment horizontal="left"/>
    </xf>
    <xf numFmtId="49" fontId="52" fillId="0" borderId="14" xfId="100" applyNumberFormat="1" applyFont="1" applyBorder="1" applyAlignment="1">
      <alignment horizontal="left"/>
    </xf>
    <xf numFmtId="49" fontId="52" fillId="0" borderId="15" xfId="100" applyNumberFormat="1" applyFont="1" applyBorder="1" applyAlignment="1">
      <alignment horizontal="left"/>
    </xf>
    <xf numFmtId="0" fontId="30" fillId="8" borderId="8" xfId="0" applyFont="1" applyFill="1" applyBorder="1" applyAlignment="1" applyProtection="1">
      <alignment vertical="center"/>
      <protection locked="0"/>
    </xf>
    <xf numFmtId="0" fontId="30" fillId="8" borderId="4" xfId="0" applyFont="1" applyFill="1" applyBorder="1" applyAlignment="1" applyProtection="1">
      <alignment vertical="center"/>
      <protection locked="0"/>
    </xf>
    <xf numFmtId="0" fontId="30" fillId="8" borderId="7" xfId="0" applyFont="1" applyFill="1" applyBorder="1" applyAlignment="1" applyProtection="1">
      <alignment vertical="center"/>
      <protection locked="0"/>
    </xf>
    <xf numFmtId="0" fontId="29" fillId="0" borderId="8" xfId="0" applyFont="1" applyFill="1" applyBorder="1" applyAlignment="1" applyProtection="1">
      <alignment vertical="center"/>
      <protection locked="0"/>
    </xf>
    <xf numFmtId="0" fontId="29" fillId="0" borderId="4" xfId="0" applyFont="1" applyFill="1" applyBorder="1" applyAlignment="1" applyProtection="1">
      <alignment vertical="center"/>
      <protection locked="0"/>
    </xf>
    <xf numFmtId="0" fontId="29" fillId="0" borderId="7" xfId="0" applyFont="1" applyFill="1" applyBorder="1" applyAlignment="1" applyProtection="1">
      <alignment vertical="center"/>
      <protection locked="0"/>
    </xf>
    <xf numFmtId="0" fontId="45" fillId="7" borderId="2" xfId="91" applyFont="1" applyFill="1" applyBorder="1" applyAlignment="1" applyProtection="1">
      <alignment horizontal="center" vertical="center"/>
      <protection locked="0"/>
    </xf>
    <xf numFmtId="0" fontId="30" fillId="5" borderId="8" xfId="0" quotePrefix="1" applyFont="1" applyFill="1" applyBorder="1" applyAlignment="1" applyProtection="1">
      <alignment horizontal="left" vertical="center"/>
      <protection locked="0"/>
    </xf>
    <xf numFmtId="0" fontId="30" fillId="5" borderId="4" xfId="0" quotePrefix="1" applyFont="1" applyFill="1" applyBorder="1" applyAlignment="1" applyProtection="1">
      <alignment horizontal="left" vertical="center"/>
      <protection locked="0"/>
    </xf>
    <xf numFmtId="0" fontId="30" fillId="5" borderId="7" xfId="0" quotePrefix="1" applyFont="1" applyFill="1" applyBorder="1" applyAlignment="1" applyProtection="1">
      <alignment horizontal="left" vertical="center"/>
      <protection locked="0"/>
    </xf>
    <xf numFmtId="0" fontId="29" fillId="0" borderId="8" xfId="0" applyFont="1" applyFill="1" applyBorder="1" applyAlignment="1" applyProtection="1">
      <alignment horizontal="left" vertical="center"/>
      <protection locked="0"/>
    </xf>
    <xf numFmtId="0" fontId="29" fillId="0" borderId="4" xfId="0" applyFont="1" applyFill="1" applyBorder="1" applyAlignment="1" applyProtection="1">
      <alignment horizontal="left" vertical="center"/>
      <protection locked="0"/>
    </xf>
    <xf numFmtId="0" fontId="29" fillId="0" borderId="7" xfId="0" applyFont="1" applyFill="1" applyBorder="1" applyAlignment="1" applyProtection="1">
      <alignment horizontal="left" vertical="center"/>
      <protection locked="0"/>
    </xf>
    <xf numFmtId="0" fontId="45" fillId="7" borderId="10" xfId="91" applyFont="1" applyFill="1" applyBorder="1" applyAlignment="1" applyProtection="1">
      <alignment horizontal="center" vertical="center" wrapText="1"/>
      <protection locked="0"/>
    </xf>
    <xf numFmtId="0" fontId="45" fillId="7" borderId="2" xfId="91" applyFont="1" applyFill="1" applyBorder="1" applyAlignment="1" applyProtection="1">
      <alignment horizontal="center" vertical="center" wrapText="1"/>
      <protection locked="0"/>
    </xf>
    <xf numFmtId="0" fontId="30" fillId="4" borderId="8" xfId="0" applyFont="1" applyFill="1" applyBorder="1" applyAlignment="1" applyProtection="1">
      <alignment vertical="center"/>
      <protection locked="0"/>
    </xf>
    <xf numFmtId="0" fontId="30" fillId="4" borderId="4" xfId="0" applyFont="1" applyFill="1" applyBorder="1" applyAlignment="1" applyProtection="1">
      <alignment vertical="center"/>
      <protection locked="0"/>
    </xf>
    <xf numFmtId="0" fontId="30" fillId="4" borderId="7" xfId="0" applyFont="1" applyFill="1" applyBorder="1" applyAlignment="1" applyProtection="1">
      <alignment vertical="center"/>
      <protection locked="0"/>
    </xf>
    <xf numFmtId="0" fontId="41" fillId="0" borderId="0" xfId="91" quotePrefix="1" applyFont="1" applyFill="1" applyAlignment="1" applyProtection="1">
      <alignment horizontal="center" vertical="center"/>
    </xf>
    <xf numFmtId="0" fontId="31" fillId="6" borderId="2" xfId="0" applyFont="1" applyFill="1" applyBorder="1" applyAlignment="1">
      <alignment horizontal="center" vertical="center"/>
    </xf>
    <xf numFmtId="187" fontId="28" fillId="7" borderId="2" xfId="91" applyNumberFormat="1" applyFont="1" applyFill="1" applyBorder="1" applyAlignment="1">
      <alignment horizontal="center" vertical="center" wrapText="1"/>
    </xf>
    <xf numFmtId="187" fontId="28" fillId="7" borderId="2" xfId="91" applyNumberFormat="1" applyFont="1" applyFill="1" applyBorder="1" applyAlignment="1" applyProtection="1">
      <alignment horizontal="center" vertical="center" wrapText="1"/>
    </xf>
    <xf numFmtId="186" fontId="28" fillId="7" borderId="2" xfId="91" applyNumberFormat="1" applyFont="1" applyFill="1" applyBorder="1" applyAlignment="1" applyProtection="1">
      <alignment horizontal="center" vertical="center"/>
    </xf>
    <xf numFmtId="0" fontId="28" fillId="7" borderId="2" xfId="91" applyFont="1" applyFill="1" applyBorder="1" applyAlignment="1" applyProtection="1">
      <alignment horizontal="center" vertical="center" wrapText="1"/>
    </xf>
    <xf numFmtId="0" fontId="28" fillId="7" borderId="2" xfId="91" applyFont="1" applyFill="1" applyBorder="1" applyAlignment="1" applyProtection="1">
      <alignment horizontal="center" vertical="center"/>
    </xf>
    <xf numFmtId="0" fontId="28" fillId="7" borderId="2" xfId="91" applyFont="1" applyFill="1" applyBorder="1" applyAlignment="1" applyProtection="1">
      <alignment horizontal="center" vertical="center" wrapText="1"/>
      <protection locked="0"/>
    </xf>
    <xf numFmtId="0" fontId="28" fillId="7" borderId="2" xfId="91" applyFont="1" applyFill="1" applyBorder="1" applyAlignment="1" applyProtection="1">
      <alignment horizontal="center" vertical="center"/>
      <protection locked="0"/>
    </xf>
    <xf numFmtId="0" fontId="30" fillId="0" borderId="0" xfId="91" quotePrefix="1" applyFont="1" applyFill="1" applyAlignment="1" applyProtection="1">
      <alignment horizontal="center" vertical="center"/>
    </xf>
    <xf numFmtId="0" fontId="27" fillId="7" borderId="2" xfId="91" applyFont="1" applyFill="1" applyBorder="1" applyAlignment="1">
      <alignment horizontal="center" vertical="center"/>
    </xf>
    <xf numFmtId="0" fontId="29" fillId="0" borderId="8" xfId="1" applyFont="1" applyFill="1" applyBorder="1" applyAlignment="1" applyProtection="1">
      <alignment horizontal="left" vertical="top"/>
      <protection locked="0"/>
    </xf>
    <xf numFmtId="0" fontId="29" fillId="0" borderId="4" xfId="1" applyFont="1" applyFill="1" applyBorder="1" applyAlignment="1" applyProtection="1">
      <alignment horizontal="left" vertical="top"/>
      <protection locked="0"/>
    </xf>
    <xf numFmtId="0" fontId="29" fillId="0" borderId="7" xfId="1" applyFont="1" applyFill="1" applyBorder="1" applyAlignment="1" applyProtection="1">
      <alignment horizontal="left" vertical="top"/>
      <protection locked="0"/>
    </xf>
    <xf numFmtId="193" fontId="36" fillId="0" borderId="2" xfId="91" applyNumberFormat="1" applyFont="1" applyFill="1" applyBorder="1" applyAlignment="1" applyProtection="1">
      <alignment vertical="center"/>
    </xf>
    <xf numFmtId="0" fontId="36" fillId="0" borderId="2" xfId="91" applyFont="1" applyFill="1" applyBorder="1" applyAlignment="1" applyProtection="1">
      <alignment vertical="center"/>
    </xf>
    <xf numFmtId="0" fontId="28" fillId="9" borderId="0" xfId="91" applyFont="1" applyFill="1" applyBorder="1" applyAlignment="1" applyProtection="1">
      <alignment horizontal="center" vertical="center" wrapText="1"/>
    </xf>
    <xf numFmtId="193" fontId="36" fillId="0" borderId="2" xfId="91" applyNumberFormat="1" applyFont="1" applyFill="1" applyBorder="1" applyAlignment="1" applyProtection="1">
      <alignment vertical="center" wrapText="1"/>
    </xf>
  </cellXfs>
  <cellStyles count="101">
    <cellStyle name="_040220_경찰병원_rx8620_rx2600_DL360G3_원가" xfId="2"/>
    <cellStyle name="_040317_서울대병원_EMR_이지케어텍_서비스제외" xfId="3"/>
    <cellStyle name="_040329_분당재생병원_pc_원가견적서" xfId="4"/>
    <cellStyle name="_040402_강원대병원_ES45_원가" xfId="5"/>
    <cellStyle name="_040402_산재의료원_원가" xfId="6"/>
    <cellStyle name="_040409_중앙대병원_rx8620_eva5000_SAN Switch_원가" xfId="7"/>
    <cellStyle name="_040531_최종원가" xfId="8"/>
    <cellStyle name="_11월 가격표 hp workstation" xfId="9"/>
    <cellStyle name="_6월 가격표 hp workstation(수정중)" xfId="10"/>
    <cellStyle name="_7월 가격표 hp workstation" xfId="11"/>
    <cellStyle name="_8월 가격표 hp workstation" xfId="12"/>
    <cellStyle name="_ACQ 서버 DL580G2 MSA1000_0205" xfId="28"/>
    <cellStyle name="_BDW04002_02_정원(김세윤대리)_2005.01.11" xfId="29"/>
    <cellStyle name="_BDW04002_03_정원(김세윤대리)_2005.03.17" xfId="30"/>
    <cellStyle name="_BDW04002_04_정원(김세윤대리)_2005.03.22" xfId="31"/>
    <cellStyle name="_CPQRC_Storage_Dec05" xfId="32"/>
    <cellStyle name="_GS140CPU 가격" xfId="33"/>
    <cellStyle name="_hp workstation-2006_3월_가격표(내부용)_CTO" xfId="34"/>
    <cellStyle name="_hpworkstation2006_3월_가격표배포용" xfId="35"/>
    <cellStyle name="_ProCurve Quick Reference Card - December 2005" xfId="36"/>
    <cellStyle name="_ProCurve Quick Reference Card - January 2006" xfId="37"/>
    <cellStyle name="_ProCurve Quick Reference Card - July 1 2005" xfId="38"/>
    <cellStyle name="_ProCurve Quick Reference Card - July 1 2005_Book1" xfId="39"/>
    <cellStyle name="_ProCurve Quick Reference Card - July 1 2005_HP_Care_Pack_Aug05" xfId="40"/>
    <cellStyle name="_ProCurve Quick Reference Card - July 1 2005_HP_Care_Pack_July05" xfId="41"/>
    <cellStyle name="_ProCurve Quick Reference Card - October 1  2005" xfId="42"/>
    <cellStyle name="_ProCurve Quick Reference Card - October 2005 v2" xfId="43"/>
    <cellStyle name="_R8_CPQRC Storage 7-29-05" xfId="44"/>
    <cellStyle name="_UNIX(0605)" xfId="45"/>
    <cellStyle name="_WS(0404)" xfId="46"/>
    <cellStyle name="_가격표" xfId="13"/>
    <cellStyle name="_강원도병원(040409)_xw6000_원가" xfId="14"/>
    <cellStyle name="_기본견적(2003년 05월)" xfId="15"/>
    <cellStyle name="_나이츠넷(061010)_DL360G5_DL380G5_원가" xfId="16"/>
    <cellStyle name="_대전선병원 0624 - 한화" xfId="17"/>
    <cellStyle name="_대전선병원 0722 - 한화" xfId="18"/>
    <cellStyle name="_서울대병원(04037_EMR_이지케어텍_서비스포함1)" xfId="19"/>
    <cellStyle name="_손상범과장님030530" xfId="20"/>
    <cellStyle name="_솔트웨어(061023)_DL380G5_원가" xfId="21"/>
    <cellStyle name="_원주병원(060912)_DL580G4_ML570G4_원가" xfId="22"/>
    <cellStyle name="_일산병원(0818_OCS_rp7410_VA7110_superdome)(원가)" xfId="23"/>
    <cellStyle name="_정원엔시스템 ES45외_영우" xfId="24"/>
    <cellStyle name="_제안1견적서" xfId="25"/>
    <cellStyle name="_중외정보기술(061023)_DL580G4_ML150G3_DL380G5_원가" xfId="26"/>
    <cellStyle name="_키스텔_게임물등급위원회(061031)_DL360G5_DL380G5_DL580G4_원가" xfId="27"/>
    <cellStyle name="Calc Currency (0)" xfId="59"/>
    <cellStyle name="category" xfId="60"/>
    <cellStyle name="Comma [0]_1QUOTE" xfId="61"/>
    <cellStyle name="comma zerodec" xfId="62"/>
    <cellStyle name="Comma_500700서버 2003년 4월 가격표1" xfId="63"/>
    <cellStyle name="commit" xfId="64"/>
    <cellStyle name="Currency [0]_Full Year FY96_재고관리 " xfId="65"/>
    <cellStyle name="Currency_Channel Table_재고관리 " xfId="66"/>
    <cellStyle name="Currency1" xfId="67"/>
    <cellStyle name="Dezimal [0]_laroux" xfId="68"/>
    <cellStyle name="Dezimal_laroux" xfId="69"/>
    <cellStyle name="Dollar (zero dec)" xfId="70"/>
    <cellStyle name="Grey" xfId="71"/>
    <cellStyle name="HEADER" xfId="72"/>
    <cellStyle name="Header1" xfId="73"/>
    <cellStyle name="Header2" xfId="74"/>
    <cellStyle name="Hyperlink_R6_NPI" xfId="75"/>
    <cellStyle name="Input [yellow]" xfId="76"/>
    <cellStyle name="Milliers [0]_Arabian Spec" xfId="77"/>
    <cellStyle name="Milliers_Arabian Spec" xfId="78"/>
    <cellStyle name="Model" xfId="79"/>
    <cellStyle name="Mon?aire [0]_Arabian Spec" xfId="80"/>
    <cellStyle name="Mon?aire_Arabian Spec" xfId="81"/>
    <cellStyle name="Normal - Style1" xfId="82"/>
    <cellStyle name="Normal_#10-Headcount" xfId="83"/>
    <cellStyle name="Percent [2]" xfId="84"/>
    <cellStyle name="Percent_EBG Fcst &amp; BRM 2001_10_19" xfId="85"/>
    <cellStyle name="Product" xfId="86"/>
    <cellStyle name="Standard_laroux" xfId="87"/>
    <cellStyle name="subhead" xfId="88"/>
    <cellStyle name="W?rung [0]_laroux" xfId="89"/>
    <cellStyle name="W?rung_laroux" xfId="90"/>
    <cellStyle name="백분율" xfId="99" builtinId="5"/>
    <cellStyle name="스타일 1" xfId="47"/>
    <cellStyle name="안건회계법인" xfId="48"/>
    <cellStyle name="콤마 [0]_#18_upgr" xfId="49"/>
    <cellStyle name="콤마_#18_upgr" xfId="50"/>
    <cellStyle name="표준" xfId="0" builtinId="0"/>
    <cellStyle name="표준 10" xfId="96"/>
    <cellStyle name="표준 11 32" xfId="92"/>
    <cellStyle name="표준 2" xfId="1"/>
    <cellStyle name="표준 2 2" xfId="51"/>
    <cellStyle name="표준 2 3" xfId="97"/>
    <cellStyle name="표준 2_9월 1주차 주간보고_종합" xfId="52"/>
    <cellStyle name="표준 3" xfId="53"/>
    <cellStyle name="표준 3 2" xfId="98"/>
    <cellStyle name="표준 4" xfId="54"/>
    <cellStyle name="표준 5" xfId="55"/>
    <cellStyle name="표준 6" xfId="91"/>
    <cellStyle name="표준 7" xfId="93"/>
    <cellStyle name="표준 8" xfId="94"/>
    <cellStyle name="표준 9" xfId="95"/>
    <cellStyle name="표준_KEISJOB_엑셀템플릿(가로)" xfId="100"/>
    <cellStyle name="標準_Sheet1" xfId="58"/>
    <cellStyle name="표준_작업_테이블" xfId="56"/>
    <cellStyle name="표준_진료지원_1" xfId="57"/>
  </cellStyles>
  <dxfs count="94"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color theme="0" tint="-0.34998626667073579"/>
      </font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F2F2F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93"/>
      <tableStyleElement type="headerRow" dxfId="92"/>
    </tableStyle>
  </tableStyles>
  <colors>
    <mruColors>
      <color rgb="FFDDD9C4"/>
      <color rgb="FFFFFFCC"/>
      <color rgb="FFEEECEB"/>
      <color rgb="FFC5D9F1"/>
      <color rgb="FFFF3300"/>
      <color rgb="FFCC9CCC"/>
      <color rgb="FFA6C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famoz.co.kr/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2224062</xdr:colOff>
      <xdr:row>0</xdr:row>
      <xdr:rowOff>904875</xdr:rowOff>
    </xdr:from>
    <xdr:to>
      <xdr:col>0</xdr:col>
      <xdr:colOff>9961354</xdr:colOff>
      <xdr:row>0</xdr:row>
      <xdr:rowOff>1347980</xdr:rowOff>
    </xdr:to>
    <xdr:sp macro="" textlink="산출물명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224062" y="904875"/>
          <a:ext cx="7737292" cy="443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r"/>
          <a:fld id="{84D23527-79BB-4EAF-83FC-623BE7425084}" type="TxLink">
            <a:rPr lang="ko-KR" altLang="en-US" sz="1900" b="1" i="0" u="none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pPr algn="r"/>
            <a:t> </a:t>
          </a:fld>
          <a:endParaRPr lang="ko-KR" altLang="en-US" sz="1900" b="1">
            <a:latin typeface="휴먼엑스포" pitchFamily="18" charset="-127"/>
            <a:ea typeface="휴먼엑스포" pitchFamily="18" charset="-127"/>
          </a:endParaRPr>
        </a:p>
      </xdr:txBody>
    </xdr:sp>
    <xdr:clientData/>
  </xdr:twoCellAnchor>
  <xdr:oneCellAnchor>
    <xdr:from>
      <xdr:col>0</xdr:col>
      <xdr:colOff>6589058</xdr:colOff>
      <xdr:row>0</xdr:row>
      <xdr:rowOff>1460117</xdr:rowOff>
    </xdr:from>
    <xdr:ext cx="3380847" cy="76982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89058" y="1460117"/>
          <a:ext cx="3380847" cy="7698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r">
            <a:lnSpc>
              <a:spcPts val="2000"/>
            </a:lnSpc>
          </a:pPr>
          <a:r>
            <a:rPr lang="ko-KR" altLang="en-US" sz="2000" b="1">
              <a:solidFill>
                <a:schemeClr val="tx1"/>
              </a:solidFill>
              <a:latin typeface="휴먼엑스포" pitchFamily="18" charset="-127"/>
              <a:ea typeface="휴먼엑스포" pitchFamily="18" charset="-127"/>
              <a:cs typeface="+mn-cs"/>
            </a:rPr>
            <a:t>작성일자 </a:t>
          </a:r>
          <a:r>
            <a:rPr lang="en-US" altLang="ko-KR" sz="2000" b="1">
              <a:solidFill>
                <a:schemeClr val="tx1"/>
              </a:solidFill>
              <a:latin typeface="휴먼엑스포" pitchFamily="18" charset="-127"/>
              <a:ea typeface="휴먼엑스포" pitchFamily="18" charset="-127"/>
              <a:cs typeface="+mn-cs"/>
            </a:rPr>
            <a:t>: 2026.05.27</a:t>
          </a:r>
          <a:endParaRPr lang="ko-KR" altLang="en-US" sz="2000" b="1">
            <a:latin typeface="휴먼엑스포" pitchFamily="18" charset="-127"/>
            <a:ea typeface="휴먼엑스포" pitchFamily="18" charset="-127"/>
          </a:endParaRPr>
        </a:p>
      </xdr:txBody>
    </xdr:sp>
    <xdr:clientData/>
  </xdr:oneCellAnchor>
  <xdr:twoCellAnchor>
    <xdr:from>
      <xdr:col>0</xdr:col>
      <xdr:colOff>546100</xdr:colOff>
      <xdr:row>0</xdr:row>
      <xdr:rowOff>1397000</xdr:rowOff>
    </xdr:from>
    <xdr:to>
      <xdr:col>0</xdr:col>
      <xdr:colOff>9956800</xdr:colOff>
      <xdr:row>0</xdr:row>
      <xdr:rowOff>1397000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 bwMode="auto">
        <a:xfrm>
          <a:off x="546100" y="1397000"/>
          <a:ext cx="941070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3505200</xdr:colOff>
      <xdr:row>0</xdr:row>
      <xdr:rowOff>266700</xdr:rowOff>
    </xdr:from>
    <xdr:to>
      <xdr:col>0</xdr:col>
      <xdr:colOff>9845040</xdr:colOff>
      <xdr:row>0</xdr:row>
      <xdr:rowOff>1382486</xdr:rowOff>
    </xdr:to>
    <xdr:sp macro="" textlink="">
      <xdr:nvSpPr>
        <xdr:cNvPr id="5" name="직사각형 4"/>
        <xdr:cNvSpPr/>
      </xdr:nvSpPr>
      <xdr:spPr>
        <a:xfrm>
          <a:off x="3505200" y="266700"/>
          <a:ext cx="6339840" cy="11157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스마트 병원동행 </a:t>
          </a:r>
          <a:r>
            <a:rPr lang="en-US" altLang="ko-KR" sz="1800" b="1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AI</a:t>
          </a:r>
          <a:r>
            <a:rPr lang="ko-KR" altLang="en-US" sz="1800" b="1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앱</a:t>
          </a:r>
          <a:endParaRPr lang="en-US" altLang="ko-KR" sz="1800" b="1">
            <a:solidFill>
              <a:schemeClr val="tx1"/>
            </a:solidFill>
            <a:effectLst/>
            <a:latin typeface="휴먼엑스포" panose="02030504000101010101" pitchFamily="18" charset="-127"/>
            <a:ea typeface="휴먼엑스포" panose="02030504000101010101" pitchFamily="18" charset="-127"/>
            <a:cs typeface="+mn-cs"/>
          </a:endParaRPr>
        </a:p>
        <a:p>
          <a:pPr marL="0" marR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2400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WBS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22</xdr:col>
      <xdr:colOff>0</xdr:colOff>
      <xdr:row>8</xdr:row>
      <xdr:rowOff>0</xdr:rowOff>
    </xdr:from>
    <xdr:to>
      <xdr:col>23</xdr:col>
      <xdr:colOff>638175</xdr:colOff>
      <xdr:row>11</xdr:row>
      <xdr:rowOff>89535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31975" y="6496050"/>
          <a:ext cx="1323975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5295900</xdr:colOff>
      <xdr:row>7</xdr:row>
      <xdr:rowOff>166551</xdr:rowOff>
    </xdr:from>
    <xdr:to>
      <xdr:col>0</xdr:col>
      <xdr:colOff>6285104</xdr:colOff>
      <xdr:row>8</xdr:row>
      <xdr:rowOff>170999</xdr:rowOff>
    </xdr:to>
    <xdr:pic>
      <xdr:nvPicPr>
        <xdr:cNvPr id="7" name="object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95900" y="6481626"/>
          <a:ext cx="874904" cy="204473"/>
        </a:xfrm>
        <a:prstGeom prst="rect">
          <a:avLst/>
        </a:prstGeom>
      </xdr:spPr>
    </xdr:pic>
    <xdr:clientData/>
  </xdr:twoCellAnchor>
  <xdr:twoCellAnchor editAs="oneCell">
    <xdr:from>
      <xdr:col>0</xdr:col>
      <xdr:colOff>6428948</xdr:colOff>
      <xdr:row>7</xdr:row>
      <xdr:rowOff>161585</xdr:rowOff>
    </xdr:from>
    <xdr:to>
      <xdr:col>0</xdr:col>
      <xdr:colOff>7096701</xdr:colOff>
      <xdr:row>9</xdr:row>
      <xdr:rowOff>4108</xdr:rowOff>
    </xdr:to>
    <xdr:pic>
      <xdr:nvPicPr>
        <xdr:cNvPr id="8" name="그림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CD611B-CC62-DB89-240B-3D598D33B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8948" y="6476660"/>
          <a:ext cx="667753" cy="204473"/>
        </a:xfrm>
        <a:prstGeom prst="rect">
          <a:avLst/>
        </a:prstGeom>
      </xdr:spPr>
    </xdr:pic>
    <xdr:clientData/>
  </xdr:twoCellAnchor>
  <xdr:twoCellAnchor editAs="oneCell">
    <xdr:from>
      <xdr:col>0</xdr:col>
      <xdr:colOff>7354845</xdr:colOff>
      <xdr:row>7</xdr:row>
      <xdr:rowOff>161584</xdr:rowOff>
    </xdr:from>
    <xdr:to>
      <xdr:col>0</xdr:col>
      <xdr:colOff>8697638</xdr:colOff>
      <xdr:row>9</xdr:row>
      <xdr:rowOff>4107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7CFB7C9A-1127-8544-98D6-BADC44FD3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54845" y="6476659"/>
          <a:ext cx="1228493" cy="204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8840743</xdr:colOff>
      <xdr:row>7</xdr:row>
      <xdr:rowOff>142875</xdr:rowOff>
    </xdr:from>
    <xdr:to>
      <xdr:col>0</xdr:col>
      <xdr:colOff>10067905</xdr:colOff>
      <xdr:row>9</xdr:row>
      <xdr:rowOff>4448</xdr:rowOff>
    </xdr:to>
    <xdr:pic>
      <xdr:nvPicPr>
        <xdr:cNvPr id="10" name="Picture 6" descr="전남대학교병원 로고">
          <a:extLst>
            <a:ext uri="{FF2B5EF4-FFF2-40B4-BE49-F238E27FC236}">
              <a16:creationId xmlns:a16="http://schemas.microsoft.com/office/drawing/2014/main" id="{7B7512A3-90E8-83C0-4CC2-23C6F59FF2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658" b="19345"/>
        <a:stretch>
          <a:fillRect/>
        </a:stretch>
      </xdr:blipFill>
      <xdr:spPr bwMode="auto">
        <a:xfrm>
          <a:off x="8840743" y="6457950"/>
          <a:ext cx="1112862" cy="204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247650</xdr:colOff>
      <xdr:row>7</xdr:row>
      <xdr:rowOff>171450</xdr:rowOff>
    </xdr:from>
    <xdr:to>
      <xdr:col>0</xdr:col>
      <xdr:colOff>1901529</xdr:colOff>
      <xdr:row>9</xdr:row>
      <xdr:rowOff>79442</xdr:rowOff>
    </xdr:to>
    <xdr:pic>
      <xdr:nvPicPr>
        <xdr:cNvPr id="11" name="Picture 2" descr="한국전파진흥협회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6486525"/>
          <a:ext cx="1425279" cy="250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276225</xdr:colOff>
      <xdr:row>12</xdr:row>
      <xdr:rowOff>64557</xdr:rowOff>
    </xdr:from>
    <xdr:ext cx="974690" cy="352532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752975" y="2522007"/>
          <a:ext cx="974690" cy="3525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ko-KR" altLang="en-US" sz="1400" b="0" i="0" u="sng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t>개정 이력</a:t>
          </a:r>
        </a:p>
      </xdr:txBody>
    </xdr:sp>
    <xdr:clientData/>
  </xdr:oneCellAnchor>
  <xdr:oneCellAnchor>
    <xdr:from>
      <xdr:col>4</xdr:col>
      <xdr:colOff>247650</xdr:colOff>
      <xdr:row>0</xdr:row>
      <xdr:rowOff>85725</xdr:rowOff>
    </xdr:from>
    <xdr:ext cx="974690" cy="352532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4724400" y="85725"/>
          <a:ext cx="974690" cy="3525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ko-KR" altLang="en-US" sz="1400" b="0" i="0" u="sng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t>문서 정보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dcs/&#47112;&#47788;&#54764;&#49828;&#52992;&#50612;/00.%20&#44284;&#51228;&#49324;&#50629;/06.%20&#49828;&#47560;&#53944;&#46041;&#54665;&#49436;&#48708;&#49828;%20(FAMOZ)/08.%20&#49328;&#52636;&#47932;/&#49328;&#52636;&#47932;%20&#54260;&#45908;/3.%20&#44060;&#48156;/3-1.%20&#48516;&#49437;/&#49828;&#47560;&#53944;&#48337;&#50896;&#46041;&#54665;AI&#50545;_&#50836;&#44396;&#49324;&#54637;%20&#51221;&#51032;&#49436;_v0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표지"/>
      <sheetName val="2.개정이력"/>
      <sheetName val="3.요구사항정의서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D3" sqref="D3"/>
    </sheetView>
  </sheetViews>
  <sheetFormatPr defaultColWidth="10.5" defaultRowHeight="13.5"/>
  <cols>
    <col min="1" max="1" width="134.25" style="77" customWidth="1"/>
    <col min="2" max="2" width="13.125" style="77" customWidth="1"/>
    <col min="3" max="16384" width="10.5" style="77"/>
  </cols>
  <sheetData>
    <row r="1" spans="1:3" ht="285" customHeight="1">
      <c r="A1" s="104"/>
    </row>
    <row r="2" spans="1:3">
      <c r="A2" s="104"/>
    </row>
    <row r="3" spans="1:3">
      <c r="A3" s="104"/>
    </row>
    <row r="4" spans="1:3">
      <c r="A4" s="104"/>
    </row>
    <row r="5" spans="1:3">
      <c r="A5" s="104"/>
    </row>
    <row r="6" spans="1:3" ht="16.5">
      <c r="A6" s="104"/>
      <c r="C6" s="78"/>
    </row>
    <row r="7" spans="1:3">
      <c r="A7" s="104"/>
    </row>
    <row r="8" spans="1:3">
      <c r="A8" s="104"/>
    </row>
    <row r="9" spans="1:3">
      <c r="A9" s="104"/>
    </row>
    <row r="10" spans="1:3">
      <c r="A10" s="104"/>
    </row>
    <row r="15" spans="1:3">
      <c r="A15" s="79"/>
    </row>
  </sheetData>
  <mergeCells count="1">
    <mergeCell ref="A1:A1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3"/>
  <sheetViews>
    <sheetView workbookViewId="0">
      <selection activeCell="J10" sqref="J10"/>
    </sheetView>
  </sheetViews>
  <sheetFormatPr defaultColWidth="10.5" defaultRowHeight="13.5"/>
  <cols>
    <col min="1" max="1" width="1.625" style="80" customWidth="1"/>
    <col min="2" max="2" width="9.25" style="80" customWidth="1"/>
    <col min="3" max="3" width="14.25" style="80" customWidth="1"/>
    <col min="4" max="4" width="33.625" style="80" customWidth="1"/>
    <col min="5" max="5" width="54.625" style="80" customWidth="1"/>
    <col min="6" max="6" width="18.75" style="80" customWidth="1"/>
    <col min="7" max="7" width="17.625" style="80" customWidth="1"/>
    <col min="8" max="8" width="12.25" style="80" customWidth="1"/>
    <col min="9" max="9" width="10.5" style="80" customWidth="1"/>
    <col min="10" max="10" width="15.625" style="80" customWidth="1"/>
    <col min="11" max="11" width="6.25" style="80" customWidth="1"/>
    <col min="12" max="16384" width="10.5" style="80"/>
  </cols>
  <sheetData>
    <row r="1" spans="2:7" ht="13.5" customHeight="1"/>
    <row r="4" spans="2:7" ht="14.25" thickBot="1"/>
    <row r="5" spans="2:7" ht="19.5">
      <c r="B5" s="115" t="s">
        <v>29</v>
      </c>
      <c r="C5" s="116"/>
      <c r="D5" s="117" t="s">
        <v>30</v>
      </c>
      <c r="E5" s="118"/>
      <c r="F5" s="118"/>
      <c r="G5" s="119"/>
    </row>
    <row r="6" spans="2:7" ht="19.5">
      <c r="B6" s="105" t="s">
        <v>31</v>
      </c>
      <c r="C6" s="106"/>
      <c r="D6" s="107" t="s">
        <v>32</v>
      </c>
      <c r="E6" s="108"/>
      <c r="F6" s="108"/>
      <c r="G6" s="109"/>
    </row>
    <row r="7" spans="2:7" ht="19.5">
      <c r="B7" s="105" t="s">
        <v>33</v>
      </c>
      <c r="C7" s="106"/>
      <c r="D7" s="107" t="s">
        <v>34</v>
      </c>
      <c r="E7" s="108"/>
      <c r="F7" s="108"/>
      <c r="G7" s="109"/>
    </row>
    <row r="8" spans="2:7" ht="19.5">
      <c r="B8" s="105" t="s">
        <v>35</v>
      </c>
      <c r="C8" s="106"/>
      <c r="D8" s="107" t="s">
        <v>46</v>
      </c>
      <c r="E8" s="108"/>
      <c r="F8" s="108"/>
      <c r="G8" s="109"/>
    </row>
    <row r="9" spans="2:7" ht="20.25" thickBot="1">
      <c r="B9" s="110" t="s">
        <v>36</v>
      </c>
      <c r="C9" s="111"/>
      <c r="D9" s="112" t="s">
        <v>45</v>
      </c>
      <c r="E9" s="113"/>
      <c r="F9" s="113"/>
      <c r="G9" s="114"/>
    </row>
    <row r="16" spans="2:7" ht="12.75" customHeight="1" thickBot="1"/>
    <row r="17" spans="2:7" ht="18" customHeight="1">
      <c r="B17" s="81" t="s">
        <v>37</v>
      </c>
      <c r="C17" s="82" t="s">
        <v>38</v>
      </c>
      <c r="D17" s="82" t="s">
        <v>39</v>
      </c>
      <c r="E17" s="82" t="s">
        <v>40</v>
      </c>
      <c r="F17" s="82" t="s">
        <v>41</v>
      </c>
      <c r="G17" s="83" t="s">
        <v>42</v>
      </c>
    </row>
    <row r="18" spans="2:7" ht="16.5">
      <c r="B18" s="84" t="s">
        <v>43</v>
      </c>
      <c r="C18" s="85" t="s">
        <v>47</v>
      </c>
      <c r="D18" s="85" t="s">
        <v>44</v>
      </c>
      <c r="E18" s="86"/>
      <c r="F18" s="87" t="s">
        <v>19</v>
      </c>
      <c r="G18" s="88" t="s">
        <v>19</v>
      </c>
    </row>
    <row r="19" spans="2:7" ht="16.5">
      <c r="B19" s="84" t="s">
        <v>157</v>
      </c>
      <c r="C19" s="85" t="s">
        <v>158</v>
      </c>
      <c r="D19" s="85" t="s">
        <v>159</v>
      </c>
      <c r="E19" s="86" t="s">
        <v>161</v>
      </c>
      <c r="F19" s="87" t="s">
        <v>19</v>
      </c>
      <c r="G19" s="88" t="s">
        <v>19</v>
      </c>
    </row>
    <row r="20" spans="2:7" ht="16.5">
      <c r="B20" s="84"/>
      <c r="C20" s="85"/>
      <c r="D20" s="89"/>
      <c r="E20" s="91"/>
      <c r="F20" s="87"/>
      <c r="G20" s="92"/>
    </row>
    <row r="21" spans="2:7" ht="16.5">
      <c r="B21" s="84"/>
      <c r="C21" s="85"/>
      <c r="D21" s="89"/>
      <c r="F21" s="87"/>
      <c r="G21" s="88"/>
    </row>
    <row r="22" spans="2:7" ht="16.5">
      <c r="B22" s="84"/>
      <c r="C22" s="85"/>
      <c r="D22" s="89"/>
      <c r="E22" s="90"/>
      <c r="F22" s="87"/>
      <c r="G22" s="88"/>
    </row>
    <row r="23" spans="2:7" ht="17.25">
      <c r="B23" s="84"/>
      <c r="C23" s="85"/>
      <c r="D23" s="85"/>
      <c r="E23" s="93"/>
      <c r="F23" s="94"/>
      <c r="G23" s="88"/>
    </row>
    <row r="24" spans="2:7" ht="16.5">
      <c r="B24" s="84"/>
      <c r="C24" s="89"/>
      <c r="D24" s="89"/>
      <c r="E24" s="90"/>
      <c r="F24" s="89"/>
      <c r="G24" s="95"/>
    </row>
    <row r="25" spans="2:7" ht="17.25">
      <c r="B25" s="84"/>
      <c r="C25" s="85"/>
      <c r="D25" s="85"/>
      <c r="E25" s="93"/>
      <c r="F25" s="94"/>
      <c r="G25" s="88"/>
    </row>
    <row r="26" spans="2:7" ht="16.5">
      <c r="B26" s="96"/>
      <c r="C26" s="89"/>
      <c r="D26" s="89"/>
      <c r="E26" s="89"/>
      <c r="F26" s="89"/>
      <c r="G26" s="97"/>
    </row>
    <row r="27" spans="2:7" ht="16.5">
      <c r="B27" s="96"/>
      <c r="C27" s="89"/>
      <c r="D27" s="89"/>
      <c r="E27" s="89"/>
      <c r="F27" s="98"/>
      <c r="G27" s="97"/>
    </row>
    <row r="28" spans="2:7" ht="16.5">
      <c r="B28" s="96"/>
      <c r="C28" s="89"/>
      <c r="D28" s="89"/>
      <c r="E28" s="89"/>
      <c r="F28" s="98"/>
      <c r="G28" s="97"/>
    </row>
    <row r="29" spans="2:7" ht="16.5">
      <c r="B29" s="96"/>
      <c r="C29" s="89"/>
      <c r="D29" s="89"/>
      <c r="E29" s="89"/>
      <c r="F29" s="98"/>
      <c r="G29" s="97"/>
    </row>
    <row r="30" spans="2:7" ht="16.5">
      <c r="B30" s="96"/>
      <c r="C30" s="89"/>
      <c r="D30" s="89"/>
      <c r="E30" s="89"/>
      <c r="F30" s="98"/>
      <c r="G30" s="97"/>
    </row>
    <row r="31" spans="2:7" ht="16.5">
      <c r="B31" s="96"/>
      <c r="C31" s="89"/>
      <c r="D31" s="89"/>
      <c r="E31" s="89"/>
      <c r="F31" s="98"/>
      <c r="G31" s="97"/>
    </row>
    <row r="32" spans="2:7" ht="17.25" thickBot="1">
      <c r="B32" s="99"/>
      <c r="C32" s="100"/>
      <c r="D32" s="100"/>
      <c r="E32" s="100"/>
      <c r="F32" s="101"/>
      <c r="G32" s="102"/>
    </row>
    <row r="33" spans="3:5">
      <c r="C33" s="103"/>
      <c r="D33" s="103"/>
      <c r="E33" s="103"/>
    </row>
  </sheetData>
  <mergeCells count="10">
    <mergeCell ref="B8:C8"/>
    <mergeCell ref="D8:G8"/>
    <mergeCell ref="B9:C9"/>
    <mergeCell ref="D9:G9"/>
    <mergeCell ref="B5:C5"/>
    <mergeCell ref="D5:G5"/>
    <mergeCell ref="B6:C6"/>
    <mergeCell ref="D6:G6"/>
    <mergeCell ref="B7:C7"/>
    <mergeCell ref="D7:G7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5"/>
  <sheetViews>
    <sheetView tabSelected="1" zoomScale="115" zoomScaleNormal="115" zoomScaleSheetLayoutView="4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J67" sqref="J67"/>
    </sheetView>
  </sheetViews>
  <sheetFormatPr defaultRowHeight="15" customHeight="1"/>
  <cols>
    <col min="1" max="1" width="5" style="43" bestFit="1" customWidth="1"/>
    <col min="2" max="4" width="2.375" style="43" customWidth="1"/>
    <col min="5" max="5" width="2.125" style="43" customWidth="1"/>
    <col min="6" max="6" width="41.75" style="44" customWidth="1"/>
    <col min="7" max="7" width="7.125" style="45" customWidth="1"/>
    <col min="8" max="8" width="8.25" style="46" bestFit="1" customWidth="1"/>
    <col min="9" max="10" width="13.625" style="47" bestFit="1" customWidth="1"/>
    <col min="11" max="11" width="6.375" style="48" bestFit="1" customWidth="1"/>
    <col min="12" max="12" width="6.875" style="49" bestFit="1" customWidth="1"/>
    <col min="13" max="13" width="9.625" style="48" bestFit="1" customWidth="1"/>
    <col min="14" max="14" width="5.5" style="48" customWidth="1"/>
    <col min="15" max="15" width="12.125" style="50" bestFit="1" customWidth="1"/>
    <col min="16" max="16" width="9.625" style="50" bestFit="1" customWidth="1"/>
    <col min="17" max="17" width="14.875" style="51" bestFit="1" customWidth="1"/>
    <col min="18" max="18" width="34" style="51" customWidth="1"/>
    <col min="19" max="19" width="14.875" style="51" customWidth="1"/>
    <col min="20" max="20" width="11.625" style="21" customWidth="1"/>
    <col min="21" max="21" width="6.25" style="21" customWidth="1"/>
    <col min="22" max="189" width="9" style="21"/>
    <col min="190" max="190" width="2.375" style="21" customWidth="1"/>
    <col min="191" max="191" width="57.5" style="21" customWidth="1"/>
    <col min="192" max="192" width="7.625" style="21" customWidth="1"/>
    <col min="193" max="194" width="9.375" style="21" customWidth="1"/>
    <col min="195" max="199" width="7.625" style="21" customWidth="1"/>
    <col min="200" max="200" width="8.625" style="21" bestFit="1" customWidth="1"/>
    <col min="201" max="201" width="9" style="21"/>
    <col min="202" max="202" width="20.5" style="21" bestFit="1" customWidth="1"/>
    <col min="203" max="445" width="9" style="21"/>
    <col min="446" max="446" width="2.375" style="21" customWidth="1"/>
    <col min="447" max="447" width="57.5" style="21" customWidth="1"/>
    <col min="448" max="448" width="7.625" style="21" customWidth="1"/>
    <col min="449" max="450" width="9.375" style="21" customWidth="1"/>
    <col min="451" max="455" width="7.625" style="21" customWidth="1"/>
    <col min="456" max="456" width="8.625" style="21" bestFit="1" customWidth="1"/>
    <col min="457" max="457" width="9" style="21"/>
    <col min="458" max="458" width="20.5" style="21" bestFit="1" customWidth="1"/>
    <col min="459" max="701" width="9" style="21"/>
    <col min="702" max="702" width="2.375" style="21" customWidth="1"/>
    <col min="703" max="703" width="57.5" style="21" customWidth="1"/>
    <col min="704" max="704" width="7.625" style="21" customWidth="1"/>
    <col min="705" max="706" width="9.375" style="21" customWidth="1"/>
    <col min="707" max="711" width="7.625" style="21" customWidth="1"/>
    <col min="712" max="712" width="8.625" style="21" bestFit="1" customWidth="1"/>
    <col min="713" max="713" width="9" style="21"/>
    <col min="714" max="714" width="20.5" style="21" bestFit="1" customWidth="1"/>
    <col min="715" max="957" width="9" style="21"/>
    <col min="958" max="958" width="2.375" style="21" customWidth="1"/>
    <col min="959" max="959" width="57.5" style="21" customWidth="1"/>
    <col min="960" max="960" width="7.625" style="21" customWidth="1"/>
    <col min="961" max="962" width="9.375" style="21" customWidth="1"/>
    <col min="963" max="967" width="7.625" style="21" customWidth="1"/>
    <col min="968" max="968" width="8.625" style="21" bestFit="1" customWidth="1"/>
    <col min="969" max="969" width="9" style="21"/>
    <col min="970" max="970" width="20.5" style="21" bestFit="1" customWidth="1"/>
    <col min="971" max="1213" width="9" style="21"/>
    <col min="1214" max="1214" width="2.375" style="21" customWidth="1"/>
    <col min="1215" max="1215" width="57.5" style="21" customWidth="1"/>
    <col min="1216" max="1216" width="7.625" style="21" customWidth="1"/>
    <col min="1217" max="1218" width="9.375" style="21" customWidth="1"/>
    <col min="1219" max="1223" width="7.625" style="21" customWidth="1"/>
    <col min="1224" max="1224" width="8.625" style="21" bestFit="1" customWidth="1"/>
    <col min="1225" max="1225" width="9" style="21"/>
    <col min="1226" max="1226" width="20.5" style="21" bestFit="1" customWidth="1"/>
    <col min="1227" max="1469" width="9" style="21"/>
    <col min="1470" max="1470" width="2.375" style="21" customWidth="1"/>
    <col min="1471" max="1471" width="57.5" style="21" customWidth="1"/>
    <col min="1472" max="1472" width="7.625" style="21" customWidth="1"/>
    <col min="1473" max="1474" width="9.375" style="21" customWidth="1"/>
    <col min="1475" max="1479" width="7.625" style="21" customWidth="1"/>
    <col min="1480" max="1480" width="8.625" style="21" bestFit="1" customWidth="1"/>
    <col min="1481" max="1481" width="9" style="21"/>
    <col min="1482" max="1482" width="20.5" style="21" bestFit="1" customWidth="1"/>
    <col min="1483" max="1725" width="9" style="21"/>
    <col min="1726" max="1726" width="2.375" style="21" customWidth="1"/>
    <col min="1727" max="1727" width="57.5" style="21" customWidth="1"/>
    <col min="1728" max="1728" width="7.625" style="21" customWidth="1"/>
    <col min="1729" max="1730" width="9.375" style="21" customWidth="1"/>
    <col min="1731" max="1735" width="7.625" style="21" customWidth="1"/>
    <col min="1736" max="1736" width="8.625" style="21" bestFit="1" customWidth="1"/>
    <col min="1737" max="1737" width="9" style="21"/>
    <col min="1738" max="1738" width="20.5" style="21" bestFit="1" customWidth="1"/>
    <col min="1739" max="1981" width="9" style="21"/>
    <col min="1982" max="1982" width="2.375" style="21" customWidth="1"/>
    <col min="1983" max="1983" width="57.5" style="21" customWidth="1"/>
    <col min="1984" max="1984" width="7.625" style="21" customWidth="1"/>
    <col min="1985" max="1986" width="9.375" style="21" customWidth="1"/>
    <col min="1987" max="1991" width="7.625" style="21" customWidth="1"/>
    <col min="1992" max="1992" width="8.625" style="21" bestFit="1" customWidth="1"/>
    <col min="1993" max="1993" width="9" style="21"/>
    <col min="1994" max="1994" width="20.5" style="21" bestFit="1" customWidth="1"/>
    <col min="1995" max="2237" width="9" style="21"/>
    <col min="2238" max="2238" width="2.375" style="21" customWidth="1"/>
    <col min="2239" max="2239" width="57.5" style="21" customWidth="1"/>
    <col min="2240" max="2240" width="7.625" style="21" customWidth="1"/>
    <col min="2241" max="2242" width="9.375" style="21" customWidth="1"/>
    <col min="2243" max="2247" width="7.625" style="21" customWidth="1"/>
    <col min="2248" max="2248" width="8.625" style="21" bestFit="1" customWidth="1"/>
    <col min="2249" max="2249" width="9" style="21"/>
    <col min="2250" max="2250" width="20.5" style="21" bestFit="1" customWidth="1"/>
    <col min="2251" max="2493" width="9" style="21"/>
    <col min="2494" max="2494" width="2.375" style="21" customWidth="1"/>
    <col min="2495" max="2495" width="57.5" style="21" customWidth="1"/>
    <col min="2496" max="2496" width="7.625" style="21" customWidth="1"/>
    <col min="2497" max="2498" width="9.375" style="21" customWidth="1"/>
    <col min="2499" max="2503" width="7.625" style="21" customWidth="1"/>
    <col min="2504" max="2504" width="8.625" style="21" bestFit="1" customWidth="1"/>
    <col min="2505" max="2505" width="9" style="21"/>
    <col min="2506" max="2506" width="20.5" style="21" bestFit="1" customWidth="1"/>
    <col min="2507" max="2749" width="9" style="21"/>
    <col min="2750" max="2750" width="2.375" style="21" customWidth="1"/>
    <col min="2751" max="2751" width="57.5" style="21" customWidth="1"/>
    <col min="2752" max="2752" width="7.625" style="21" customWidth="1"/>
    <col min="2753" max="2754" width="9.375" style="21" customWidth="1"/>
    <col min="2755" max="2759" width="7.625" style="21" customWidth="1"/>
    <col min="2760" max="2760" width="8.625" style="21" bestFit="1" customWidth="1"/>
    <col min="2761" max="2761" width="9" style="21"/>
    <col min="2762" max="2762" width="20.5" style="21" bestFit="1" customWidth="1"/>
    <col min="2763" max="3005" width="9" style="21"/>
    <col min="3006" max="3006" width="2.375" style="21" customWidth="1"/>
    <col min="3007" max="3007" width="57.5" style="21" customWidth="1"/>
    <col min="3008" max="3008" width="7.625" style="21" customWidth="1"/>
    <col min="3009" max="3010" width="9.375" style="21" customWidth="1"/>
    <col min="3011" max="3015" width="7.625" style="21" customWidth="1"/>
    <col min="3016" max="3016" width="8.625" style="21" bestFit="1" customWidth="1"/>
    <col min="3017" max="3017" width="9" style="21"/>
    <col min="3018" max="3018" width="20.5" style="21" bestFit="1" customWidth="1"/>
    <col min="3019" max="3261" width="9" style="21"/>
    <col min="3262" max="3262" width="2.375" style="21" customWidth="1"/>
    <col min="3263" max="3263" width="57.5" style="21" customWidth="1"/>
    <col min="3264" max="3264" width="7.625" style="21" customWidth="1"/>
    <col min="3265" max="3266" width="9.375" style="21" customWidth="1"/>
    <col min="3267" max="3271" width="7.625" style="21" customWidth="1"/>
    <col min="3272" max="3272" width="8.625" style="21" bestFit="1" customWidth="1"/>
    <col min="3273" max="3273" width="9" style="21"/>
    <col min="3274" max="3274" width="20.5" style="21" bestFit="1" customWidth="1"/>
    <col min="3275" max="3517" width="9" style="21"/>
    <col min="3518" max="3518" width="2.375" style="21" customWidth="1"/>
    <col min="3519" max="3519" width="57.5" style="21" customWidth="1"/>
    <col min="3520" max="3520" width="7.625" style="21" customWidth="1"/>
    <col min="3521" max="3522" width="9.375" style="21" customWidth="1"/>
    <col min="3523" max="3527" width="7.625" style="21" customWidth="1"/>
    <col min="3528" max="3528" width="8.625" style="21" bestFit="1" customWidth="1"/>
    <col min="3529" max="3529" width="9" style="21"/>
    <col min="3530" max="3530" width="20.5" style="21" bestFit="1" customWidth="1"/>
    <col min="3531" max="3773" width="9" style="21"/>
    <col min="3774" max="3774" width="2.375" style="21" customWidth="1"/>
    <col min="3775" max="3775" width="57.5" style="21" customWidth="1"/>
    <col min="3776" max="3776" width="7.625" style="21" customWidth="1"/>
    <col min="3777" max="3778" width="9.375" style="21" customWidth="1"/>
    <col min="3779" max="3783" width="7.625" style="21" customWidth="1"/>
    <col min="3784" max="3784" width="8.625" style="21" bestFit="1" customWidth="1"/>
    <col min="3785" max="3785" width="9" style="21"/>
    <col min="3786" max="3786" width="20.5" style="21" bestFit="1" customWidth="1"/>
    <col min="3787" max="4029" width="9" style="21"/>
    <col min="4030" max="4030" width="2.375" style="21" customWidth="1"/>
    <col min="4031" max="4031" width="57.5" style="21" customWidth="1"/>
    <col min="4032" max="4032" width="7.625" style="21" customWidth="1"/>
    <col min="4033" max="4034" width="9.375" style="21" customWidth="1"/>
    <col min="4035" max="4039" width="7.625" style="21" customWidth="1"/>
    <col min="4040" max="4040" width="8.625" style="21" bestFit="1" customWidth="1"/>
    <col min="4041" max="4041" width="9" style="21"/>
    <col min="4042" max="4042" width="20.5" style="21" bestFit="1" customWidth="1"/>
    <col min="4043" max="4285" width="9" style="21"/>
    <col min="4286" max="4286" width="2.375" style="21" customWidth="1"/>
    <col min="4287" max="4287" width="57.5" style="21" customWidth="1"/>
    <col min="4288" max="4288" width="7.625" style="21" customWidth="1"/>
    <col min="4289" max="4290" width="9.375" style="21" customWidth="1"/>
    <col min="4291" max="4295" width="7.625" style="21" customWidth="1"/>
    <col min="4296" max="4296" width="8.625" style="21" bestFit="1" customWidth="1"/>
    <col min="4297" max="4297" width="9" style="21"/>
    <col min="4298" max="4298" width="20.5" style="21" bestFit="1" customWidth="1"/>
    <col min="4299" max="4541" width="9" style="21"/>
    <col min="4542" max="4542" width="2.375" style="21" customWidth="1"/>
    <col min="4543" max="4543" width="57.5" style="21" customWidth="1"/>
    <col min="4544" max="4544" width="7.625" style="21" customWidth="1"/>
    <col min="4545" max="4546" width="9.375" style="21" customWidth="1"/>
    <col min="4547" max="4551" width="7.625" style="21" customWidth="1"/>
    <col min="4552" max="4552" width="8.625" style="21" bestFit="1" customWidth="1"/>
    <col min="4553" max="4553" width="9" style="21"/>
    <col min="4554" max="4554" width="20.5" style="21" bestFit="1" customWidth="1"/>
    <col min="4555" max="4797" width="9" style="21"/>
    <col min="4798" max="4798" width="2.375" style="21" customWidth="1"/>
    <col min="4799" max="4799" width="57.5" style="21" customWidth="1"/>
    <col min="4800" max="4800" width="7.625" style="21" customWidth="1"/>
    <col min="4801" max="4802" width="9.375" style="21" customWidth="1"/>
    <col min="4803" max="4807" width="7.625" style="21" customWidth="1"/>
    <col min="4808" max="4808" width="8.625" style="21" bestFit="1" customWidth="1"/>
    <col min="4809" max="4809" width="9" style="21"/>
    <col min="4810" max="4810" width="20.5" style="21" bestFit="1" customWidth="1"/>
    <col min="4811" max="5053" width="9" style="21"/>
    <col min="5054" max="5054" width="2.375" style="21" customWidth="1"/>
    <col min="5055" max="5055" width="57.5" style="21" customWidth="1"/>
    <col min="5056" max="5056" width="7.625" style="21" customWidth="1"/>
    <col min="5057" max="5058" width="9.375" style="21" customWidth="1"/>
    <col min="5059" max="5063" width="7.625" style="21" customWidth="1"/>
    <col min="5064" max="5064" width="8.625" style="21" bestFit="1" customWidth="1"/>
    <col min="5065" max="5065" width="9" style="21"/>
    <col min="5066" max="5066" width="20.5" style="21" bestFit="1" customWidth="1"/>
    <col min="5067" max="5309" width="9" style="21"/>
    <col min="5310" max="5310" width="2.375" style="21" customWidth="1"/>
    <col min="5311" max="5311" width="57.5" style="21" customWidth="1"/>
    <col min="5312" max="5312" width="7.625" style="21" customWidth="1"/>
    <col min="5313" max="5314" width="9.375" style="21" customWidth="1"/>
    <col min="5315" max="5319" width="7.625" style="21" customWidth="1"/>
    <col min="5320" max="5320" width="8.625" style="21" bestFit="1" customWidth="1"/>
    <col min="5321" max="5321" width="9" style="21"/>
    <col min="5322" max="5322" width="20.5" style="21" bestFit="1" customWidth="1"/>
    <col min="5323" max="5565" width="9" style="21"/>
    <col min="5566" max="5566" width="2.375" style="21" customWidth="1"/>
    <col min="5567" max="5567" width="57.5" style="21" customWidth="1"/>
    <col min="5568" max="5568" width="7.625" style="21" customWidth="1"/>
    <col min="5569" max="5570" width="9.375" style="21" customWidth="1"/>
    <col min="5571" max="5575" width="7.625" style="21" customWidth="1"/>
    <col min="5576" max="5576" width="8.625" style="21" bestFit="1" customWidth="1"/>
    <col min="5577" max="5577" width="9" style="21"/>
    <col min="5578" max="5578" width="20.5" style="21" bestFit="1" customWidth="1"/>
    <col min="5579" max="5821" width="9" style="21"/>
    <col min="5822" max="5822" width="2.375" style="21" customWidth="1"/>
    <col min="5823" max="5823" width="57.5" style="21" customWidth="1"/>
    <col min="5824" max="5824" width="7.625" style="21" customWidth="1"/>
    <col min="5825" max="5826" width="9.375" style="21" customWidth="1"/>
    <col min="5827" max="5831" width="7.625" style="21" customWidth="1"/>
    <col min="5832" max="5832" width="8.625" style="21" bestFit="1" customWidth="1"/>
    <col min="5833" max="5833" width="9" style="21"/>
    <col min="5834" max="5834" width="20.5" style="21" bestFit="1" customWidth="1"/>
    <col min="5835" max="6077" width="9" style="21"/>
    <col min="6078" max="6078" width="2.375" style="21" customWidth="1"/>
    <col min="6079" max="6079" width="57.5" style="21" customWidth="1"/>
    <col min="6080" max="6080" width="7.625" style="21" customWidth="1"/>
    <col min="6081" max="6082" width="9.375" style="21" customWidth="1"/>
    <col min="6083" max="6087" width="7.625" style="21" customWidth="1"/>
    <col min="6088" max="6088" width="8.625" style="21" bestFit="1" customWidth="1"/>
    <col min="6089" max="6089" width="9" style="21"/>
    <col min="6090" max="6090" width="20.5" style="21" bestFit="1" customWidth="1"/>
    <col min="6091" max="6333" width="9" style="21"/>
    <col min="6334" max="6334" width="2.375" style="21" customWidth="1"/>
    <col min="6335" max="6335" width="57.5" style="21" customWidth="1"/>
    <col min="6336" max="6336" width="7.625" style="21" customWidth="1"/>
    <col min="6337" max="6338" width="9.375" style="21" customWidth="1"/>
    <col min="6339" max="6343" width="7.625" style="21" customWidth="1"/>
    <col min="6344" max="6344" width="8.625" style="21" bestFit="1" customWidth="1"/>
    <col min="6345" max="6345" width="9" style="21"/>
    <col min="6346" max="6346" width="20.5" style="21" bestFit="1" customWidth="1"/>
    <col min="6347" max="6589" width="9" style="21"/>
    <col min="6590" max="6590" width="2.375" style="21" customWidth="1"/>
    <col min="6591" max="6591" width="57.5" style="21" customWidth="1"/>
    <col min="6592" max="6592" width="7.625" style="21" customWidth="1"/>
    <col min="6593" max="6594" width="9.375" style="21" customWidth="1"/>
    <col min="6595" max="6599" width="7.625" style="21" customWidth="1"/>
    <col min="6600" max="6600" width="8.625" style="21" bestFit="1" customWidth="1"/>
    <col min="6601" max="6601" width="9" style="21"/>
    <col min="6602" max="6602" width="20.5" style="21" bestFit="1" customWidth="1"/>
    <col min="6603" max="6845" width="9" style="21"/>
    <col min="6846" max="6846" width="2.375" style="21" customWidth="1"/>
    <col min="6847" max="6847" width="57.5" style="21" customWidth="1"/>
    <col min="6848" max="6848" width="7.625" style="21" customWidth="1"/>
    <col min="6849" max="6850" width="9.375" style="21" customWidth="1"/>
    <col min="6851" max="6855" width="7.625" style="21" customWidth="1"/>
    <col min="6856" max="6856" width="8.625" style="21" bestFit="1" customWidth="1"/>
    <col min="6857" max="6857" width="9" style="21"/>
    <col min="6858" max="6858" width="20.5" style="21" bestFit="1" customWidth="1"/>
    <col min="6859" max="7101" width="9" style="21"/>
    <col min="7102" max="7102" width="2.375" style="21" customWidth="1"/>
    <col min="7103" max="7103" width="57.5" style="21" customWidth="1"/>
    <col min="7104" max="7104" width="7.625" style="21" customWidth="1"/>
    <col min="7105" max="7106" width="9.375" style="21" customWidth="1"/>
    <col min="7107" max="7111" width="7.625" style="21" customWidth="1"/>
    <col min="7112" max="7112" width="8.625" style="21" bestFit="1" customWidth="1"/>
    <col min="7113" max="7113" width="9" style="21"/>
    <col min="7114" max="7114" width="20.5" style="21" bestFit="1" customWidth="1"/>
    <col min="7115" max="7357" width="9" style="21"/>
    <col min="7358" max="7358" width="2.375" style="21" customWidth="1"/>
    <col min="7359" max="7359" width="57.5" style="21" customWidth="1"/>
    <col min="7360" max="7360" width="7.625" style="21" customWidth="1"/>
    <col min="7361" max="7362" width="9.375" style="21" customWidth="1"/>
    <col min="7363" max="7367" width="7.625" style="21" customWidth="1"/>
    <col min="7368" max="7368" width="8.625" style="21" bestFit="1" customWidth="1"/>
    <col min="7369" max="7369" width="9" style="21"/>
    <col min="7370" max="7370" width="20.5" style="21" bestFit="1" customWidth="1"/>
    <col min="7371" max="7613" width="9" style="21"/>
    <col min="7614" max="7614" width="2.375" style="21" customWidth="1"/>
    <col min="7615" max="7615" width="57.5" style="21" customWidth="1"/>
    <col min="7616" max="7616" width="7.625" style="21" customWidth="1"/>
    <col min="7617" max="7618" width="9.375" style="21" customWidth="1"/>
    <col min="7619" max="7623" width="7.625" style="21" customWidth="1"/>
    <col min="7624" max="7624" width="8.625" style="21" bestFit="1" customWidth="1"/>
    <col min="7625" max="7625" width="9" style="21"/>
    <col min="7626" max="7626" width="20.5" style="21" bestFit="1" customWidth="1"/>
    <col min="7627" max="7869" width="9" style="21"/>
    <col min="7870" max="7870" width="2.375" style="21" customWidth="1"/>
    <col min="7871" max="7871" width="57.5" style="21" customWidth="1"/>
    <col min="7872" max="7872" width="7.625" style="21" customWidth="1"/>
    <col min="7873" max="7874" width="9.375" style="21" customWidth="1"/>
    <col min="7875" max="7879" width="7.625" style="21" customWidth="1"/>
    <col min="7880" max="7880" width="8.625" style="21" bestFit="1" customWidth="1"/>
    <col min="7881" max="7881" width="9" style="21"/>
    <col min="7882" max="7882" width="20.5" style="21" bestFit="1" customWidth="1"/>
    <col min="7883" max="8125" width="9" style="21"/>
    <col min="8126" max="8126" width="2.375" style="21" customWidth="1"/>
    <col min="8127" max="8127" width="57.5" style="21" customWidth="1"/>
    <col min="8128" max="8128" width="7.625" style="21" customWidth="1"/>
    <col min="8129" max="8130" width="9.375" style="21" customWidth="1"/>
    <col min="8131" max="8135" width="7.625" style="21" customWidth="1"/>
    <col min="8136" max="8136" width="8.625" style="21" bestFit="1" customWidth="1"/>
    <col min="8137" max="8137" width="9" style="21"/>
    <col min="8138" max="8138" width="20.5" style="21" bestFit="1" customWidth="1"/>
    <col min="8139" max="8381" width="9" style="21"/>
    <col min="8382" max="8382" width="2.375" style="21" customWidth="1"/>
    <col min="8383" max="8383" width="57.5" style="21" customWidth="1"/>
    <col min="8384" max="8384" width="7.625" style="21" customWidth="1"/>
    <col min="8385" max="8386" width="9.375" style="21" customWidth="1"/>
    <col min="8387" max="8391" width="7.625" style="21" customWidth="1"/>
    <col min="8392" max="8392" width="8.625" style="21" bestFit="1" customWidth="1"/>
    <col min="8393" max="8393" width="9" style="21"/>
    <col min="8394" max="8394" width="20.5" style="21" bestFit="1" customWidth="1"/>
    <col min="8395" max="8637" width="9" style="21"/>
    <col min="8638" max="8638" width="2.375" style="21" customWidth="1"/>
    <col min="8639" max="8639" width="57.5" style="21" customWidth="1"/>
    <col min="8640" max="8640" width="7.625" style="21" customWidth="1"/>
    <col min="8641" max="8642" width="9.375" style="21" customWidth="1"/>
    <col min="8643" max="8647" width="7.625" style="21" customWidth="1"/>
    <col min="8648" max="8648" width="8.625" style="21" bestFit="1" customWidth="1"/>
    <col min="8649" max="8649" width="9" style="21"/>
    <col min="8650" max="8650" width="20.5" style="21" bestFit="1" customWidth="1"/>
    <col min="8651" max="8893" width="9" style="21"/>
    <col min="8894" max="8894" width="2.375" style="21" customWidth="1"/>
    <col min="8895" max="8895" width="57.5" style="21" customWidth="1"/>
    <col min="8896" max="8896" width="7.625" style="21" customWidth="1"/>
    <col min="8897" max="8898" width="9.375" style="21" customWidth="1"/>
    <col min="8899" max="8903" width="7.625" style="21" customWidth="1"/>
    <col min="8904" max="8904" width="8.625" style="21" bestFit="1" customWidth="1"/>
    <col min="8905" max="8905" width="9" style="21"/>
    <col min="8906" max="8906" width="20.5" style="21" bestFit="1" customWidth="1"/>
    <col min="8907" max="9149" width="9" style="21"/>
    <col min="9150" max="9150" width="2.375" style="21" customWidth="1"/>
    <col min="9151" max="9151" width="57.5" style="21" customWidth="1"/>
    <col min="9152" max="9152" width="7.625" style="21" customWidth="1"/>
    <col min="9153" max="9154" width="9.375" style="21" customWidth="1"/>
    <col min="9155" max="9159" width="7.625" style="21" customWidth="1"/>
    <col min="9160" max="9160" width="8.625" style="21" bestFit="1" customWidth="1"/>
    <col min="9161" max="9161" width="9" style="21"/>
    <col min="9162" max="9162" width="20.5" style="21" bestFit="1" customWidth="1"/>
    <col min="9163" max="9405" width="9" style="21"/>
    <col min="9406" max="9406" width="2.375" style="21" customWidth="1"/>
    <col min="9407" max="9407" width="57.5" style="21" customWidth="1"/>
    <col min="9408" max="9408" width="7.625" style="21" customWidth="1"/>
    <col min="9409" max="9410" width="9.375" style="21" customWidth="1"/>
    <col min="9411" max="9415" width="7.625" style="21" customWidth="1"/>
    <col min="9416" max="9416" width="8.625" style="21" bestFit="1" customWidth="1"/>
    <col min="9417" max="9417" width="9" style="21"/>
    <col min="9418" max="9418" width="20.5" style="21" bestFit="1" customWidth="1"/>
    <col min="9419" max="9661" width="9" style="21"/>
    <col min="9662" max="9662" width="2.375" style="21" customWidth="1"/>
    <col min="9663" max="9663" width="57.5" style="21" customWidth="1"/>
    <col min="9664" max="9664" width="7.625" style="21" customWidth="1"/>
    <col min="9665" max="9666" width="9.375" style="21" customWidth="1"/>
    <col min="9667" max="9671" width="7.625" style="21" customWidth="1"/>
    <col min="9672" max="9672" width="8.625" style="21" bestFit="1" customWidth="1"/>
    <col min="9673" max="9673" width="9" style="21"/>
    <col min="9674" max="9674" width="20.5" style="21" bestFit="1" customWidth="1"/>
    <col min="9675" max="9917" width="9" style="21"/>
    <col min="9918" max="9918" width="2.375" style="21" customWidth="1"/>
    <col min="9919" max="9919" width="57.5" style="21" customWidth="1"/>
    <col min="9920" max="9920" width="7.625" style="21" customWidth="1"/>
    <col min="9921" max="9922" width="9.375" style="21" customWidth="1"/>
    <col min="9923" max="9927" width="7.625" style="21" customWidth="1"/>
    <col min="9928" max="9928" width="8.625" style="21" bestFit="1" customWidth="1"/>
    <col min="9929" max="9929" width="9" style="21"/>
    <col min="9930" max="9930" width="20.5" style="21" bestFit="1" customWidth="1"/>
    <col min="9931" max="10173" width="9" style="21"/>
    <col min="10174" max="10174" width="2.375" style="21" customWidth="1"/>
    <col min="10175" max="10175" width="57.5" style="21" customWidth="1"/>
    <col min="10176" max="10176" width="7.625" style="21" customWidth="1"/>
    <col min="10177" max="10178" width="9.375" style="21" customWidth="1"/>
    <col min="10179" max="10183" width="7.625" style="21" customWidth="1"/>
    <col min="10184" max="10184" width="8.625" style="21" bestFit="1" customWidth="1"/>
    <col min="10185" max="10185" width="9" style="21"/>
    <col min="10186" max="10186" width="20.5" style="21" bestFit="1" customWidth="1"/>
    <col min="10187" max="10429" width="9" style="21"/>
    <col min="10430" max="10430" width="2.375" style="21" customWidth="1"/>
    <col min="10431" max="10431" width="57.5" style="21" customWidth="1"/>
    <col min="10432" max="10432" width="7.625" style="21" customWidth="1"/>
    <col min="10433" max="10434" width="9.375" style="21" customWidth="1"/>
    <col min="10435" max="10439" width="7.625" style="21" customWidth="1"/>
    <col min="10440" max="10440" width="8.625" style="21" bestFit="1" customWidth="1"/>
    <col min="10441" max="10441" width="9" style="21"/>
    <col min="10442" max="10442" width="20.5" style="21" bestFit="1" customWidth="1"/>
    <col min="10443" max="10685" width="9" style="21"/>
    <col min="10686" max="10686" width="2.375" style="21" customWidth="1"/>
    <col min="10687" max="10687" width="57.5" style="21" customWidth="1"/>
    <col min="10688" max="10688" width="7.625" style="21" customWidth="1"/>
    <col min="10689" max="10690" width="9.375" style="21" customWidth="1"/>
    <col min="10691" max="10695" width="7.625" style="21" customWidth="1"/>
    <col min="10696" max="10696" width="8.625" style="21" bestFit="1" customWidth="1"/>
    <col min="10697" max="10697" width="9" style="21"/>
    <col min="10698" max="10698" width="20.5" style="21" bestFit="1" customWidth="1"/>
    <col min="10699" max="10941" width="9" style="21"/>
    <col min="10942" max="10942" width="2.375" style="21" customWidth="1"/>
    <col min="10943" max="10943" width="57.5" style="21" customWidth="1"/>
    <col min="10944" max="10944" width="7.625" style="21" customWidth="1"/>
    <col min="10945" max="10946" width="9.375" style="21" customWidth="1"/>
    <col min="10947" max="10951" width="7.625" style="21" customWidth="1"/>
    <col min="10952" max="10952" width="8.625" style="21" bestFit="1" customWidth="1"/>
    <col min="10953" max="10953" width="9" style="21"/>
    <col min="10954" max="10954" width="20.5" style="21" bestFit="1" customWidth="1"/>
    <col min="10955" max="11197" width="9" style="21"/>
    <col min="11198" max="11198" width="2.375" style="21" customWidth="1"/>
    <col min="11199" max="11199" width="57.5" style="21" customWidth="1"/>
    <col min="11200" max="11200" width="7.625" style="21" customWidth="1"/>
    <col min="11201" max="11202" width="9.375" style="21" customWidth="1"/>
    <col min="11203" max="11207" width="7.625" style="21" customWidth="1"/>
    <col min="11208" max="11208" width="8.625" style="21" bestFit="1" customWidth="1"/>
    <col min="11209" max="11209" width="9" style="21"/>
    <col min="11210" max="11210" width="20.5" style="21" bestFit="1" customWidth="1"/>
    <col min="11211" max="11453" width="9" style="21"/>
    <col min="11454" max="11454" width="2.375" style="21" customWidth="1"/>
    <col min="11455" max="11455" width="57.5" style="21" customWidth="1"/>
    <col min="11456" max="11456" width="7.625" style="21" customWidth="1"/>
    <col min="11457" max="11458" width="9.375" style="21" customWidth="1"/>
    <col min="11459" max="11463" width="7.625" style="21" customWidth="1"/>
    <col min="11464" max="11464" width="8.625" style="21" bestFit="1" customWidth="1"/>
    <col min="11465" max="11465" width="9" style="21"/>
    <col min="11466" max="11466" width="20.5" style="21" bestFit="1" customWidth="1"/>
    <col min="11467" max="11709" width="9" style="21"/>
    <col min="11710" max="11710" width="2.375" style="21" customWidth="1"/>
    <col min="11711" max="11711" width="57.5" style="21" customWidth="1"/>
    <col min="11712" max="11712" width="7.625" style="21" customWidth="1"/>
    <col min="11713" max="11714" width="9.375" style="21" customWidth="1"/>
    <col min="11715" max="11719" width="7.625" style="21" customWidth="1"/>
    <col min="11720" max="11720" width="8.625" style="21" bestFit="1" customWidth="1"/>
    <col min="11721" max="11721" width="9" style="21"/>
    <col min="11722" max="11722" width="20.5" style="21" bestFit="1" customWidth="1"/>
    <col min="11723" max="11965" width="9" style="21"/>
    <col min="11966" max="11966" width="2.375" style="21" customWidth="1"/>
    <col min="11967" max="11967" width="57.5" style="21" customWidth="1"/>
    <col min="11968" max="11968" width="7.625" style="21" customWidth="1"/>
    <col min="11969" max="11970" width="9.375" style="21" customWidth="1"/>
    <col min="11971" max="11975" width="7.625" style="21" customWidth="1"/>
    <col min="11976" max="11976" width="8.625" style="21" bestFit="1" customWidth="1"/>
    <col min="11977" max="11977" width="9" style="21"/>
    <col min="11978" max="11978" width="20.5" style="21" bestFit="1" customWidth="1"/>
    <col min="11979" max="12221" width="9" style="21"/>
    <col min="12222" max="12222" width="2.375" style="21" customWidth="1"/>
    <col min="12223" max="12223" width="57.5" style="21" customWidth="1"/>
    <col min="12224" max="12224" width="7.625" style="21" customWidth="1"/>
    <col min="12225" max="12226" width="9.375" style="21" customWidth="1"/>
    <col min="12227" max="12231" width="7.625" style="21" customWidth="1"/>
    <col min="12232" max="12232" width="8.625" style="21" bestFit="1" customWidth="1"/>
    <col min="12233" max="12233" width="9" style="21"/>
    <col min="12234" max="12234" width="20.5" style="21" bestFit="1" customWidth="1"/>
    <col min="12235" max="12477" width="9" style="21"/>
    <col min="12478" max="12478" width="2.375" style="21" customWidth="1"/>
    <col min="12479" max="12479" width="57.5" style="21" customWidth="1"/>
    <col min="12480" max="12480" width="7.625" style="21" customWidth="1"/>
    <col min="12481" max="12482" width="9.375" style="21" customWidth="1"/>
    <col min="12483" max="12487" width="7.625" style="21" customWidth="1"/>
    <col min="12488" max="12488" width="8.625" style="21" bestFit="1" customWidth="1"/>
    <col min="12489" max="12489" width="9" style="21"/>
    <col min="12490" max="12490" width="20.5" style="21" bestFit="1" customWidth="1"/>
    <col min="12491" max="12733" width="9" style="21"/>
    <col min="12734" max="12734" width="2.375" style="21" customWidth="1"/>
    <col min="12735" max="12735" width="57.5" style="21" customWidth="1"/>
    <col min="12736" max="12736" width="7.625" style="21" customWidth="1"/>
    <col min="12737" max="12738" width="9.375" style="21" customWidth="1"/>
    <col min="12739" max="12743" width="7.625" style="21" customWidth="1"/>
    <col min="12744" max="12744" width="8.625" style="21" bestFit="1" customWidth="1"/>
    <col min="12745" max="12745" width="9" style="21"/>
    <col min="12746" max="12746" width="20.5" style="21" bestFit="1" customWidth="1"/>
    <col min="12747" max="12989" width="9" style="21"/>
    <col min="12990" max="12990" width="2.375" style="21" customWidth="1"/>
    <col min="12991" max="12991" width="57.5" style="21" customWidth="1"/>
    <col min="12992" max="12992" width="7.625" style="21" customWidth="1"/>
    <col min="12993" max="12994" width="9.375" style="21" customWidth="1"/>
    <col min="12995" max="12999" width="7.625" style="21" customWidth="1"/>
    <col min="13000" max="13000" width="8.625" style="21" bestFit="1" customWidth="1"/>
    <col min="13001" max="13001" width="9" style="21"/>
    <col min="13002" max="13002" width="20.5" style="21" bestFit="1" customWidth="1"/>
    <col min="13003" max="13245" width="9" style="21"/>
    <col min="13246" max="13246" width="2.375" style="21" customWidth="1"/>
    <col min="13247" max="13247" width="57.5" style="21" customWidth="1"/>
    <col min="13248" max="13248" width="7.625" style="21" customWidth="1"/>
    <col min="13249" max="13250" width="9.375" style="21" customWidth="1"/>
    <col min="13251" max="13255" width="7.625" style="21" customWidth="1"/>
    <col min="13256" max="13256" width="8.625" style="21" bestFit="1" customWidth="1"/>
    <col min="13257" max="13257" width="9" style="21"/>
    <col min="13258" max="13258" width="20.5" style="21" bestFit="1" customWidth="1"/>
    <col min="13259" max="13501" width="9" style="21"/>
    <col min="13502" max="13502" width="2.375" style="21" customWidth="1"/>
    <col min="13503" max="13503" width="57.5" style="21" customWidth="1"/>
    <col min="13504" max="13504" width="7.625" style="21" customWidth="1"/>
    <col min="13505" max="13506" width="9.375" style="21" customWidth="1"/>
    <col min="13507" max="13511" width="7.625" style="21" customWidth="1"/>
    <col min="13512" max="13512" width="8.625" style="21" bestFit="1" customWidth="1"/>
    <col min="13513" max="13513" width="9" style="21"/>
    <col min="13514" max="13514" width="20.5" style="21" bestFit="1" customWidth="1"/>
    <col min="13515" max="13757" width="9" style="21"/>
    <col min="13758" max="13758" width="2.375" style="21" customWidth="1"/>
    <col min="13759" max="13759" width="57.5" style="21" customWidth="1"/>
    <col min="13760" max="13760" width="7.625" style="21" customWidth="1"/>
    <col min="13761" max="13762" width="9.375" style="21" customWidth="1"/>
    <col min="13763" max="13767" width="7.625" style="21" customWidth="1"/>
    <col min="13768" max="13768" width="8.625" style="21" bestFit="1" customWidth="1"/>
    <col min="13769" max="13769" width="9" style="21"/>
    <col min="13770" max="13770" width="20.5" style="21" bestFit="1" customWidth="1"/>
    <col min="13771" max="14013" width="9" style="21"/>
    <col min="14014" max="14014" width="2.375" style="21" customWidth="1"/>
    <col min="14015" max="14015" width="57.5" style="21" customWidth="1"/>
    <col min="14016" max="14016" width="7.625" style="21" customWidth="1"/>
    <col min="14017" max="14018" width="9.375" style="21" customWidth="1"/>
    <col min="14019" max="14023" width="7.625" style="21" customWidth="1"/>
    <col min="14024" max="14024" width="8.625" style="21" bestFit="1" customWidth="1"/>
    <col min="14025" max="14025" width="9" style="21"/>
    <col min="14026" max="14026" width="20.5" style="21" bestFit="1" customWidth="1"/>
    <col min="14027" max="14269" width="9" style="21"/>
    <col min="14270" max="14270" width="2.375" style="21" customWidth="1"/>
    <col min="14271" max="14271" width="57.5" style="21" customWidth="1"/>
    <col min="14272" max="14272" width="7.625" style="21" customWidth="1"/>
    <col min="14273" max="14274" width="9.375" style="21" customWidth="1"/>
    <col min="14275" max="14279" width="7.625" style="21" customWidth="1"/>
    <col min="14280" max="14280" width="8.625" style="21" bestFit="1" customWidth="1"/>
    <col min="14281" max="14281" width="9" style="21"/>
    <col min="14282" max="14282" width="20.5" style="21" bestFit="1" customWidth="1"/>
    <col min="14283" max="14525" width="9" style="21"/>
    <col min="14526" max="14526" width="2.375" style="21" customWidth="1"/>
    <col min="14527" max="14527" width="57.5" style="21" customWidth="1"/>
    <col min="14528" max="14528" width="7.625" style="21" customWidth="1"/>
    <col min="14529" max="14530" width="9.375" style="21" customWidth="1"/>
    <col min="14531" max="14535" width="7.625" style="21" customWidth="1"/>
    <col min="14536" max="14536" width="8.625" style="21" bestFit="1" customWidth="1"/>
    <col min="14537" max="14537" width="9" style="21"/>
    <col min="14538" max="14538" width="20.5" style="21" bestFit="1" customWidth="1"/>
    <col min="14539" max="14781" width="9" style="21"/>
    <col min="14782" max="14782" width="2.375" style="21" customWidth="1"/>
    <col min="14783" max="14783" width="57.5" style="21" customWidth="1"/>
    <col min="14784" max="14784" width="7.625" style="21" customWidth="1"/>
    <col min="14785" max="14786" width="9.375" style="21" customWidth="1"/>
    <col min="14787" max="14791" width="7.625" style="21" customWidth="1"/>
    <col min="14792" max="14792" width="8.625" style="21" bestFit="1" customWidth="1"/>
    <col min="14793" max="14793" width="9" style="21"/>
    <col min="14794" max="14794" width="20.5" style="21" bestFit="1" customWidth="1"/>
    <col min="14795" max="15037" width="9" style="21"/>
    <col min="15038" max="15038" width="2.375" style="21" customWidth="1"/>
    <col min="15039" max="15039" width="57.5" style="21" customWidth="1"/>
    <col min="15040" max="15040" width="7.625" style="21" customWidth="1"/>
    <col min="15041" max="15042" width="9.375" style="21" customWidth="1"/>
    <col min="15043" max="15047" width="7.625" style="21" customWidth="1"/>
    <col min="15048" max="15048" width="8.625" style="21" bestFit="1" customWidth="1"/>
    <col min="15049" max="15049" width="9" style="21"/>
    <col min="15050" max="15050" width="20.5" style="21" bestFit="1" customWidth="1"/>
    <col min="15051" max="15293" width="9" style="21"/>
    <col min="15294" max="15294" width="2.375" style="21" customWidth="1"/>
    <col min="15295" max="15295" width="57.5" style="21" customWidth="1"/>
    <col min="15296" max="15296" width="7.625" style="21" customWidth="1"/>
    <col min="15297" max="15298" width="9.375" style="21" customWidth="1"/>
    <col min="15299" max="15303" width="7.625" style="21" customWidth="1"/>
    <col min="15304" max="15304" width="8.625" style="21" bestFit="1" customWidth="1"/>
    <col min="15305" max="15305" width="9" style="21"/>
    <col min="15306" max="15306" width="20.5" style="21" bestFit="1" customWidth="1"/>
    <col min="15307" max="15549" width="9" style="21"/>
    <col min="15550" max="15550" width="2.375" style="21" customWidth="1"/>
    <col min="15551" max="15551" width="57.5" style="21" customWidth="1"/>
    <col min="15552" max="15552" width="7.625" style="21" customWidth="1"/>
    <col min="15553" max="15554" width="9.375" style="21" customWidth="1"/>
    <col min="15555" max="15559" width="7.625" style="21" customWidth="1"/>
    <col min="15560" max="15560" width="8.625" style="21" bestFit="1" customWidth="1"/>
    <col min="15561" max="15561" width="9" style="21"/>
    <col min="15562" max="15562" width="20.5" style="21" bestFit="1" customWidth="1"/>
    <col min="15563" max="15805" width="9" style="21"/>
    <col min="15806" max="15806" width="2.375" style="21" customWidth="1"/>
    <col min="15807" max="15807" width="57.5" style="21" customWidth="1"/>
    <col min="15808" max="15808" width="7.625" style="21" customWidth="1"/>
    <col min="15809" max="15810" width="9.375" style="21" customWidth="1"/>
    <col min="15811" max="15815" width="7.625" style="21" customWidth="1"/>
    <col min="15816" max="15816" width="8.625" style="21" bestFit="1" customWidth="1"/>
    <col min="15817" max="15817" width="9" style="21"/>
    <col min="15818" max="15818" width="20.5" style="21" bestFit="1" customWidth="1"/>
    <col min="15819" max="16061" width="9" style="21"/>
    <col min="16062" max="16062" width="2.375" style="21" customWidth="1"/>
    <col min="16063" max="16063" width="57.5" style="21" customWidth="1"/>
    <col min="16064" max="16064" width="7.625" style="21" customWidth="1"/>
    <col min="16065" max="16066" width="9.375" style="21" customWidth="1"/>
    <col min="16067" max="16071" width="7.625" style="21" customWidth="1"/>
    <col min="16072" max="16072" width="8.625" style="21" bestFit="1" customWidth="1"/>
    <col min="16073" max="16073" width="9" style="21"/>
    <col min="16074" max="16074" width="20.5" style="21" bestFit="1" customWidth="1"/>
    <col min="16075" max="16384" width="9" style="21"/>
  </cols>
  <sheetData>
    <row r="1" spans="1:22" ht="26.25" customHeight="1">
      <c r="A1" s="138" t="s">
        <v>52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35">
        <f ca="1">TODAY()</f>
        <v>46178</v>
      </c>
      <c r="P1" s="36"/>
      <c r="Q1" s="37"/>
      <c r="R1" s="37"/>
      <c r="S1" s="37"/>
    </row>
    <row r="2" spans="1:22" ht="13.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35"/>
      <c r="P2" s="36"/>
      <c r="Q2" s="37"/>
      <c r="R2" s="37"/>
      <c r="S2" s="37"/>
    </row>
    <row r="4" spans="1:22" s="16" customFormat="1" ht="15" customHeight="1">
      <c r="A4" s="139" t="s">
        <v>16</v>
      </c>
      <c r="B4" s="148" t="s">
        <v>4</v>
      </c>
      <c r="C4" s="148"/>
      <c r="D4" s="148"/>
      <c r="E4" s="148"/>
      <c r="F4" s="148"/>
      <c r="G4" s="140" t="s">
        <v>8</v>
      </c>
      <c r="H4" s="141" t="s">
        <v>0</v>
      </c>
      <c r="I4" s="142" t="s">
        <v>9</v>
      </c>
      <c r="J4" s="142" t="s">
        <v>10</v>
      </c>
      <c r="K4" s="143" t="s">
        <v>1</v>
      </c>
      <c r="L4" s="145" t="s">
        <v>5</v>
      </c>
      <c r="M4" s="144" t="s">
        <v>2</v>
      </c>
      <c r="N4" s="143" t="s">
        <v>6</v>
      </c>
      <c r="O4" s="126" t="s">
        <v>7</v>
      </c>
      <c r="P4" s="126" t="s">
        <v>14</v>
      </c>
      <c r="Q4" s="134" t="s">
        <v>3</v>
      </c>
      <c r="R4" s="133" t="s">
        <v>18</v>
      </c>
      <c r="S4" s="32"/>
    </row>
    <row r="5" spans="1:22" s="16" customFormat="1" ht="15" customHeight="1">
      <c r="A5" s="139"/>
      <c r="B5" s="148"/>
      <c r="C5" s="148"/>
      <c r="D5" s="148"/>
      <c r="E5" s="148"/>
      <c r="F5" s="148"/>
      <c r="G5" s="140"/>
      <c r="H5" s="141"/>
      <c r="I5" s="142"/>
      <c r="J5" s="142"/>
      <c r="K5" s="144"/>
      <c r="L5" s="146"/>
      <c r="M5" s="144"/>
      <c r="N5" s="144"/>
      <c r="O5" s="126"/>
      <c r="P5" s="126"/>
      <c r="Q5" s="134"/>
      <c r="R5" s="133"/>
      <c r="S5" s="32"/>
    </row>
    <row r="6" spans="1:22" s="16" customFormat="1" ht="15" customHeight="1">
      <c r="A6" s="2">
        <v>0</v>
      </c>
      <c r="B6" s="127" t="s">
        <v>48</v>
      </c>
      <c r="C6" s="128"/>
      <c r="D6" s="128"/>
      <c r="E6" s="128"/>
      <c r="F6" s="129"/>
      <c r="G6" s="12">
        <f>G7+G54</f>
        <v>1</v>
      </c>
      <c r="H6" s="3">
        <f t="shared" ref="H6:H46" si="0">NETWORKDAYS(I6,J6, $T$7:$T$26)</f>
        <v>175</v>
      </c>
      <c r="I6" s="4">
        <f>MIN(I7:I62)</f>
        <v>46143</v>
      </c>
      <c r="J6" s="4">
        <f>MAX(J7:J62)</f>
        <v>46387</v>
      </c>
      <c r="K6" s="13">
        <f ca="1">(K7*$G$7)+(K54*$G$54)</f>
        <v>4.0563468789275241</v>
      </c>
      <c r="L6" s="13">
        <f>(L7*$G$7)+(L54*$G$54)</f>
        <v>22</v>
      </c>
      <c r="M6" s="14">
        <f ca="1">L6-K6</f>
        <v>17.943653121072476</v>
      </c>
      <c r="N6" s="15">
        <f t="shared" ref="N6:N46" ca="1" si="1">IF(I6&gt;$O$1,0,IF(I6=$O$1,1,NETWORKDAYS(I6,$O$1, $T$7:$T$26)))</f>
        <v>26</v>
      </c>
      <c r="O6" s="5"/>
      <c r="P6" s="5"/>
      <c r="Q6" s="6"/>
      <c r="R6" s="6"/>
      <c r="S6" s="33"/>
      <c r="T6" s="74" t="s">
        <v>28</v>
      </c>
    </row>
    <row r="7" spans="1:22" s="16" customFormat="1" ht="15" customHeight="1">
      <c r="A7" s="1">
        <v>1</v>
      </c>
      <c r="B7" s="135" t="s">
        <v>15</v>
      </c>
      <c r="C7" s="136"/>
      <c r="D7" s="136"/>
      <c r="E7" s="136"/>
      <c r="F7" s="137"/>
      <c r="G7" s="66">
        <v>0.25</v>
      </c>
      <c r="H7" s="7">
        <f t="shared" si="0"/>
        <v>109</v>
      </c>
      <c r="I7" s="8">
        <f>MIN(I8:I26)</f>
        <v>46143</v>
      </c>
      <c r="J7" s="8">
        <f>MAX(J8:J26)</f>
        <v>46295</v>
      </c>
      <c r="K7" s="17">
        <f ca="1">(K8*$G$8)+(K24*$G$24)</f>
        <v>11.111751152073731</v>
      </c>
      <c r="L7" s="17">
        <f>(L8*$G$8)+(L24*$G$24)</f>
        <v>88</v>
      </c>
      <c r="M7" s="18">
        <f ca="1">L7-K7</f>
        <v>76.888248847926263</v>
      </c>
      <c r="N7" s="19">
        <f t="shared" ca="1" si="1"/>
        <v>26</v>
      </c>
      <c r="O7" s="9"/>
      <c r="P7" s="9"/>
      <c r="Q7" s="10"/>
      <c r="R7" s="71"/>
      <c r="S7" s="30"/>
      <c r="T7" s="63">
        <v>45811</v>
      </c>
      <c r="U7" s="64" t="s">
        <v>25</v>
      </c>
    </row>
    <row r="8" spans="1:22" s="16" customFormat="1" ht="15" customHeight="1">
      <c r="A8" s="59">
        <v>1.1000000000000001</v>
      </c>
      <c r="B8" s="52"/>
      <c r="C8" s="120" t="s">
        <v>49</v>
      </c>
      <c r="D8" s="121"/>
      <c r="E8" s="121"/>
      <c r="F8" s="122"/>
      <c r="G8" s="65">
        <v>0.15</v>
      </c>
      <c r="H8" s="53">
        <f t="shared" si="0"/>
        <v>31</v>
      </c>
      <c r="I8" s="54">
        <f>MIN(I9:I10)</f>
        <v>46143</v>
      </c>
      <c r="J8" s="54">
        <f>MAX(J9:J10)</f>
        <v>46185</v>
      </c>
      <c r="K8" s="55">
        <f ca="1">AVERAGE(K9:K10)</f>
        <v>74.078341013824883</v>
      </c>
      <c r="L8" s="55">
        <f>AVERAGE(L9:L10)</f>
        <v>20</v>
      </c>
      <c r="M8" s="56">
        <f ca="1">L8-K8</f>
        <v>-54.078341013824883</v>
      </c>
      <c r="N8" s="57">
        <f t="shared" ca="1" si="1"/>
        <v>26</v>
      </c>
      <c r="O8" s="58" t="s">
        <v>68</v>
      </c>
      <c r="P8" s="58"/>
      <c r="Q8" s="60"/>
      <c r="R8" s="70"/>
      <c r="S8" s="30"/>
      <c r="T8" s="63">
        <v>45814</v>
      </c>
      <c r="U8" s="64" t="s">
        <v>26</v>
      </c>
    </row>
    <row r="9" spans="1:22" s="16" customFormat="1" ht="15" customHeight="1">
      <c r="A9" s="23" t="s">
        <v>21</v>
      </c>
      <c r="B9" s="39"/>
      <c r="C9" s="39"/>
      <c r="D9" s="130" t="s">
        <v>50</v>
      </c>
      <c r="E9" s="131"/>
      <c r="F9" s="132"/>
      <c r="G9" s="67"/>
      <c r="H9" s="20">
        <f t="shared" si="0"/>
        <v>31</v>
      </c>
      <c r="I9" s="11">
        <v>46143</v>
      </c>
      <c r="J9" s="11">
        <v>46185</v>
      </c>
      <c r="K9" s="25">
        <f t="shared" ref="K9" ca="1" si="2">IF($O$1&gt;=J9,100,(N9/H9)*100)</f>
        <v>83.870967741935488</v>
      </c>
      <c r="L9" s="40">
        <v>10</v>
      </c>
      <c r="M9" s="41">
        <f ca="1">L9-K9</f>
        <v>-73.870967741935488</v>
      </c>
      <c r="N9" s="38">
        <f t="shared" ca="1" si="1"/>
        <v>26</v>
      </c>
      <c r="O9" s="26" t="s">
        <v>68</v>
      </c>
      <c r="P9" s="28"/>
      <c r="Q9" s="27" t="s">
        <v>79</v>
      </c>
      <c r="R9" s="69"/>
      <c r="S9" s="31"/>
      <c r="T9" s="63">
        <v>45884</v>
      </c>
      <c r="U9" s="64" t="s">
        <v>27</v>
      </c>
    </row>
    <row r="10" spans="1:22" s="16" customFormat="1" ht="15" customHeight="1">
      <c r="A10" s="23" t="s">
        <v>22</v>
      </c>
      <c r="B10" s="39"/>
      <c r="C10" s="39"/>
      <c r="D10" s="123" t="s">
        <v>51</v>
      </c>
      <c r="E10" s="124"/>
      <c r="F10" s="125"/>
      <c r="G10" s="67"/>
      <c r="H10" s="20">
        <f t="shared" si="0"/>
        <v>14</v>
      </c>
      <c r="I10" s="11">
        <v>46168</v>
      </c>
      <c r="J10" s="11">
        <v>46185</v>
      </c>
      <c r="K10" s="25">
        <f t="shared" ref="K10" ca="1" si="3">IF($O$1&gt;=J10,100,(N10/H10)*100)</f>
        <v>64.285714285714292</v>
      </c>
      <c r="L10" s="40">
        <v>30</v>
      </c>
      <c r="M10" s="41">
        <f t="shared" ref="M10" ca="1" si="4">L10-K10</f>
        <v>-34.285714285714292</v>
      </c>
      <c r="N10" s="38">
        <f t="shared" ca="1" si="1"/>
        <v>9</v>
      </c>
      <c r="O10" s="26" t="s">
        <v>68</v>
      </c>
      <c r="P10" s="28"/>
      <c r="Q10" s="27" t="s">
        <v>78</v>
      </c>
      <c r="R10" s="69"/>
      <c r="S10" s="31"/>
      <c r="T10" s="63"/>
      <c r="U10" s="64"/>
    </row>
    <row r="11" spans="1:22" s="16" customFormat="1" ht="15" customHeight="1">
      <c r="A11" s="59">
        <v>1.2</v>
      </c>
      <c r="B11" s="52"/>
      <c r="C11" s="120" t="s">
        <v>58</v>
      </c>
      <c r="D11" s="121"/>
      <c r="E11" s="121"/>
      <c r="F11" s="122"/>
      <c r="G11" s="65">
        <v>0.85</v>
      </c>
      <c r="H11" s="53">
        <f t="shared" si="0"/>
        <v>32</v>
      </c>
      <c r="I11" s="54">
        <f>MIN(I12:I13)</f>
        <v>46160</v>
      </c>
      <c r="J11" s="54">
        <f>MAX(J12:J13)</f>
        <v>46203</v>
      </c>
      <c r="K11" s="55">
        <f ca="1">AVERAGE(K12:K13)</f>
        <v>37.5</v>
      </c>
      <c r="L11" s="55">
        <f>AVERAGE(L12:L13)</f>
        <v>15</v>
      </c>
      <c r="M11" s="56">
        <f ca="1">L11-K11</f>
        <v>-22.5</v>
      </c>
      <c r="N11" s="57">
        <f t="shared" ca="1" si="1"/>
        <v>15</v>
      </c>
      <c r="O11" s="58" t="s">
        <v>68</v>
      </c>
      <c r="P11" s="75"/>
      <c r="Q11" s="60"/>
      <c r="R11" s="70"/>
      <c r="S11" s="30"/>
      <c r="T11" s="63"/>
      <c r="U11" s="64"/>
      <c r="V11" s="34"/>
    </row>
    <row r="12" spans="1:22" s="16" customFormat="1" ht="15" customHeight="1">
      <c r="A12" s="23" t="s">
        <v>11</v>
      </c>
      <c r="B12" s="39"/>
      <c r="C12" s="39"/>
      <c r="D12" s="130" t="s">
        <v>65</v>
      </c>
      <c r="E12" s="131"/>
      <c r="F12" s="132"/>
      <c r="G12" s="67"/>
      <c r="H12" s="20">
        <f t="shared" si="0"/>
        <v>20</v>
      </c>
      <c r="I12" s="11">
        <v>46160</v>
      </c>
      <c r="J12" s="11">
        <v>46185</v>
      </c>
      <c r="K12" s="25">
        <f t="shared" ref="K12:K13" ca="1" si="5">IF($O$1&gt;=J12,100,(N12/H12)*100)</f>
        <v>75</v>
      </c>
      <c r="L12" s="40">
        <v>30</v>
      </c>
      <c r="M12" s="41">
        <f ca="1">L12-K12</f>
        <v>-45</v>
      </c>
      <c r="N12" s="38">
        <f t="shared" ca="1" si="1"/>
        <v>15</v>
      </c>
      <c r="O12" s="26" t="s">
        <v>68</v>
      </c>
      <c r="P12" s="28"/>
      <c r="Q12" s="27" t="s">
        <v>80</v>
      </c>
      <c r="R12" s="69"/>
      <c r="S12" s="30"/>
      <c r="T12" s="34"/>
      <c r="U12" s="34"/>
      <c r="V12" s="34"/>
    </row>
    <row r="13" spans="1:22" s="16" customFormat="1" ht="15" customHeight="1">
      <c r="A13" s="23" t="s">
        <v>23</v>
      </c>
      <c r="B13" s="39"/>
      <c r="C13" s="39"/>
      <c r="D13" s="123" t="s">
        <v>66</v>
      </c>
      <c r="E13" s="124"/>
      <c r="F13" s="125"/>
      <c r="G13" s="67"/>
      <c r="H13" s="20">
        <f t="shared" si="0"/>
        <v>17</v>
      </c>
      <c r="I13" s="11">
        <v>46181</v>
      </c>
      <c r="J13" s="11">
        <v>46203</v>
      </c>
      <c r="K13" s="25">
        <f t="shared" ca="1" si="5"/>
        <v>0</v>
      </c>
      <c r="L13" s="40">
        <v>0</v>
      </c>
      <c r="M13" s="41">
        <f t="shared" ref="M13" ca="1" si="6">L13-K13</f>
        <v>0</v>
      </c>
      <c r="N13" s="38">
        <f t="shared" ca="1" si="1"/>
        <v>0</v>
      </c>
      <c r="O13" s="26" t="s">
        <v>68</v>
      </c>
      <c r="P13" s="28"/>
      <c r="Q13" s="27"/>
      <c r="R13" s="69"/>
      <c r="S13" s="30"/>
      <c r="T13" s="34"/>
      <c r="U13" s="34"/>
      <c r="V13" s="34"/>
    </row>
    <row r="14" spans="1:22" s="16" customFormat="1" ht="15" customHeight="1">
      <c r="A14" s="59">
        <v>1.3</v>
      </c>
      <c r="B14" s="52"/>
      <c r="C14" s="120" t="s">
        <v>59</v>
      </c>
      <c r="D14" s="121"/>
      <c r="E14" s="121"/>
      <c r="F14" s="122"/>
      <c r="G14" s="65">
        <v>0.85</v>
      </c>
      <c r="H14" s="53">
        <f t="shared" si="0"/>
        <v>78</v>
      </c>
      <c r="I14" s="54">
        <f>MIN(I15:I18)</f>
        <v>46188</v>
      </c>
      <c r="J14" s="54">
        <f>MAX(J15:J18)</f>
        <v>46295</v>
      </c>
      <c r="K14" s="55">
        <f ca="1">AVERAGE(K15:K18)</f>
        <v>0</v>
      </c>
      <c r="L14" s="55">
        <f>AVERAGE(L15:L18)</f>
        <v>0</v>
      </c>
      <c r="M14" s="56">
        <f ca="1">L14-K14</f>
        <v>0</v>
      </c>
      <c r="N14" s="57">
        <f t="shared" ca="1" si="1"/>
        <v>0</v>
      </c>
      <c r="O14" s="58" t="s">
        <v>69</v>
      </c>
      <c r="P14" s="75"/>
      <c r="Q14" s="60"/>
      <c r="R14" s="70"/>
      <c r="S14" s="30"/>
      <c r="T14" s="63"/>
      <c r="U14" s="64"/>
      <c r="V14" s="34"/>
    </row>
    <row r="15" spans="1:22" s="16" customFormat="1" ht="15" customHeight="1">
      <c r="A15" s="23" t="s">
        <v>71</v>
      </c>
      <c r="B15" s="39"/>
      <c r="C15" s="39"/>
      <c r="D15" s="130" t="s">
        <v>60</v>
      </c>
      <c r="E15" s="131"/>
      <c r="F15" s="132"/>
      <c r="G15" s="67"/>
      <c r="H15" s="20">
        <f t="shared" si="0"/>
        <v>12</v>
      </c>
      <c r="I15" s="11">
        <v>46188</v>
      </c>
      <c r="J15" s="11">
        <v>46203</v>
      </c>
      <c r="K15" s="25">
        <f t="shared" ref="K15:K18" ca="1" si="7">IF($O$1&gt;=J15,100,(N15/H15)*100)</f>
        <v>0</v>
      </c>
      <c r="L15" s="40">
        <v>0</v>
      </c>
      <c r="M15" s="41">
        <f ca="1">L15-K15</f>
        <v>0</v>
      </c>
      <c r="N15" s="38">
        <f t="shared" ca="1" si="1"/>
        <v>0</v>
      </c>
      <c r="O15" s="26" t="s">
        <v>69</v>
      </c>
      <c r="P15" s="28"/>
      <c r="Q15" s="27"/>
      <c r="R15" s="69"/>
      <c r="S15" s="30"/>
      <c r="T15" s="34"/>
      <c r="U15" s="34"/>
      <c r="V15" s="34"/>
    </row>
    <row r="16" spans="1:22" s="16" customFormat="1" ht="15" customHeight="1">
      <c r="A16" s="23" t="s">
        <v>72</v>
      </c>
      <c r="B16" s="39"/>
      <c r="C16" s="39"/>
      <c r="D16" s="130" t="s">
        <v>61</v>
      </c>
      <c r="E16" s="131"/>
      <c r="F16" s="132"/>
      <c r="G16" s="67"/>
      <c r="H16" s="20">
        <f t="shared" si="0"/>
        <v>23</v>
      </c>
      <c r="I16" s="11">
        <v>46204</v>
      </c>
      <c r="J16" s="11">
        <v>46234</v>
      </c>
      <c r="K16" s="25">
        <f t="shared" ca="1" si="7"/>
        <v>0</v>
      </c>
      <c r="L16" s="40">
        <v>0</v>
      </c>
      <c r="M16" s="41">
        <f t="shared" ref="M16:M18" ca="1" si="8">L16-K16</f>
        <v>0</v>
      </c>
      <c r="N16" s="38">
        <f t="shared" ca="1" si="1"/>
        <v>0</v>
      </c>
      <c r="O16" s="26" t="s">
        <v>69</v>
      </c>
      <c r="P16" s="28"/>
      <c r="Q16" s="27"/>
      <c r="R16" s="69"/>
      <c r="S16" s="30"/>
      <c r="T16" s="34"/>
      <c r="U16" s="34"/>
      <c r="V16" s="34"/>
    </row>
    <row r="17" spans="1:22" s="16" customFormat="1" ht="15" customHeight="1">
      <c r="A17" s="23" t="s">
        <v>73</v>
      </c>
      <c r="B17" s="39"/>
      <c r="C17" s="39"/>
      <c r="D17" s="130" t="s">
        <v>62</v>
      </c>
      <c r="E17" s="131"/>
      <c r="F17" s="132"/>
      <c r="G17" s="67"/>
      <c r="H17" s="20">
        <f t="shared" si="0"/>
        <v>78</v>
      </c>
      <c r="I17" s="11">
        <v>46188</v>
      </c>
      <c r="J17" s="11">
        <v>46295</v>
      </c>
      <c r="K17" s="25">
        <f t="shared" ca="1" si="7"/>
        <v>0</v>
      </c>
      <c r="L17" s="40">
        <v>0</v>
      </c>
      <c r="M17" s="41">
        <f t="shared" ca="1" si="8"/>
        <v>0</v>
      </c>
      <c r="N17" s="38">
        <f t="shared" ca="1" si="1"/>
        <v>0</v>
      </c>
      <c r="O17" s="26" t="s">
        <v>69</v>
      </c>
      <c r="P17" s="28"/>
      <c r="Q17" s="27"/>
      <c r="R17" s="69"/>
      <c r="S17" s="30"/>
      <c r="T17" s="34"/>
      <c r="U17" s="34"/>
      <c r="V17" s="34"/>
    </row>
    <row r="18" spans="1:22" s="16" customFormat="1" ht="15" customHeight="1">
      <c r="A18" s="23" t="s">
        <v>74</v>
      </c>
      <c r="B18" s="39"/>
      <c r="C18" s="39"/>
      <c r="D18" s="130" t="s">
        <v>63</v>
      </c>
      <c r="E18" s="131"/>
      <c r="F18" s="132"/>
      <c r="G18" s="67"/>
      <c r="H18" s="20">
        <f t="shared" si="0"/>
        <v>78</v>
      </c>
      <c r="I18" s="11">
        <v>46188</v>
      </c>
      <c r="J18" s="11">
        <v>46295</v>
      </c>
      <c r="K18" s="25">
        <f t="shared" ca="1" si="7"/>
        <v>0</v>
      </c>
      <c r="L18" s="40">
        <v>0</v>
      </c>
      <c r="M18" s="41">
        <f t="shared" ca="1" si="8"/>
        <v>0</v>
      </c>
      <c r="N18" s="38">
        <f t="shared" ca="1" si="1"/>
        <v>0</v>
      </c>
      <c r="O18" s="26" t="s">
        <v>69</v>
      </c>
      <c r="P18" s="28"/>
      <c r="Q18" s="27"/>
      <c r="R18" s="69"/>
      <c r="S18" s="30"/>
      <c r="T18" s="34"/>
      <c r="U18" s="34"/>
      <c r="V18" s="34"/>
    </row>
    <row r="19" spans="1:22" s="16" customFormat="1" ht="15" customHeight="1">
      <c r="A19" s="59">
        <v>1.4</v>
      </c>
      <c r="B19" s="52"/>
      <c r="C19" s="120" t="s">
        <v>70</v>
      </c>
      <c r="D19" s="121"/>
      <c r="E19" s="121"/>
      <c r="F19" s="122"/>
      <c r="G19" s="65">
        <v>0.85</v>
      </c>
      <c r="H19" s="53">
        <f t="shared" ref="H19:H23" si="9">NETWORKDAYS(I19,J19, $T$7:$T$26)</f>
        <v>5</v>
      </c>
      <c r="I19" s="54">
        <f>MIN(I20:I20)</f>
        <v>46160</v>
      </c>
      <c r="J19" s="54">
        <f>MAX(J20:J20)</f>
        <v>46164</v>
      </c>
      <c r="K19" s="55">
        <f ca="1">AVERAGE(K20:K20)</f>
        <v>100</v>
      </c>
      <c r="L19" s="55">
        <f>AVERAGE(L20:L20)</f>
        <v>100</v>
      </c>
      <c r="M19" s="56">
        <f t="shared" ref="M19:M29" ca="1" si="10">L19-K19</f>
        <v>0</v>
      </c>
      <c r="N19" s="57">
        <f t="shared" ref="N19:N23" ca="1" si="11">IF(I19&gt;$O$1,0,IF(I19=$O$1,1,NETWORKDAYS(I19,$O$1, $T$7:$T$26)))</f>
        <v>15</v>
      </c>
      <c r="O19" s="58" t="s">
        <v>77</v>
      </c>
      <c r="P19" s="75"/>
      <c r="Q19" s="60"/>
      <c r="R19" s="70"/>
      <c r="S19" s="30"/>
      <c r="T19" s="63"/>
      <c r="U19" s="64"/>
      <c r="V19" s="34"/>
    </row>
    <row r="20" spans="1:22" s="16" customFormat="1" ht="15" customHeight="1">
      <c r="A20" s="23" t="s">
        <v>75</v>
      </c>
      <c r="B20" s="39"/>
      <c r="C20" s="39"/>
      <c r="D20" s="130" t="s">
        <v>76</v>
      </c>
      <c r="E20" s="131"/>
      <c r="F20" s="132"/>
      <c r="G20" s="67"/>
      <c r="H20" s="20">
        <f t="shared" si="9"/>
        <v>5</v>
      </c>
      <c r="I20" s="11">
        <v>46160</v>
      </c>
      <c r="J20" s="11">
        <v>46164</v>
      </c>
      <c r="K20" s="25">
        <f t="shared" ref="K20" ca="1" si="12">IF($O$1&gt;=J20,100,(N20/H20)*100)</f>
        <v>100</v>
      </c>
      <c r="L20" s="40">
        <v>100</v>
      </c>
      <c r="M20" s="41">
        <f t="shared" ca="1" si="10"/>
        <v>0</v>
      </c>
      <c r="N20" s="38">
        <f t="shared" ca="1" si="11"/>
        <v>15</v>
      </c>
      <c r="O20" s="26" t="s">
        <v>19</v>
      </c>
      <c r="P20" s="28"/>
      <c r="Q20" s="27" t="s">
        <v>70</v>
      </c>
      <c r="R20" s="69"/>
      <c r="S20" s="30"/>
      <c r="T20" s="34"/>
      <c r="U20" s="34"/>
      <c r="V20" s="34"/>
    </row>
    <row r="21" spans="1:22" s="16" customFormat="1" ht="15" customHeight="1">
      <c r="A21" s="59">
        <v>1.5</v>
      </c>
      <c r="B21" s="52"/>
      <c r="C21" s="120" t="s">
        <v>137</v>
      </c>
      <c r="D21" s="121"/>
      <c r="E21" s="121"/>
      <c r="F21" s="122"/>
      <c r="G21" s="65">
        <v>0.85</v>
      </c>
      <c r="H21" s="53">
        <f t="shared" si="9"/>
        <v>34</v>
      </c>
      <c r="I21" s="54">
        <f>MIN(I23:I23)</f>
        <v>46218</v>
      </c>
      <c r="J21" s="54">
        <f>MAX(J23:J23)</f>
        <v>46265</v>
      </c>
      <c r="K21" s="55">
        <f ca="1">AVERAGE(K23:K23)</f>
        <v>0</v>
      </c>
      <c r="L21" s="55">
        <f>AVERAGE(L23:L23)</f>
        <v>100</v>
      </c>
      <c r="M21" s="56">
        <f t="shared" ca="1" si="10"/>
        <v>100</v>
      </c>
      <c r="N21" s="57">
        <f t="shared" ca="1" si="11"/>
        <v>0</v>
      </c>
      <c r="O21" s="58" t="s">
        <v>77</v>
      </c>
      <c r="P21" s="75"/>
      <c r="Q21" s="60"/>
      <c r="R21" s="70"/>
      <c r="S21" s="30"/>
      <c r="T21" s="63"/>
      <c r="U21" s="64"/>
      <c r="V21" s="34"/>
    </row>
    <row r="22" spans="1:22" s="16" customFormat="1" ht="15" customHeight="1">
      <c r="A22" s="23" t="s">
        <v>138</v>
      </c>
      <c r="B22" s="39"/>
      <c r="C22" s="39"/>
      <c r="D22" s="130" t="s">
        <v>140</v>
      </c>
      <c r="E22" s="131"/>
      <c r="F22" s="132"/>
      <c r="G22" s="67"/>
      <c r="H22" s="20">
        <f t="shared" si="9"/>
        <v>56</v>
      </c>
      <c r="I22" s="11">
        <v>46188</v>
      </c>
      <c r="J22" s="11">
        <v>46265</v>
      </c>
      <c r="K22" s="25">
        <f t="shared" ref="K22:K23" ca="1" si="13">IF($O$1&gt;=J22,100,(N22/H22)*100)</f>
        <v>0</v>
      </c>
      <c r="L22" s="40">
        <v>100</v>
      </c>
      <c r="M22" s="41">
        <f t="shared" ca="1" si="10"/>
        <v>100</v>
      </c>
      <c r="N22" s="38">
        <f t="shared" ca="1" si="11"/>
        <v>0</v>
      </c>
      <c r="O22" s="26" t="s">
        <v>19</v>
      </c>
      <c r="P22" s="28"/>
      <c r="Q22" s="27" t="s">
        <v>143</v>
      </c>
      <c r="R22" s="69"/>
      <c r="S22" s="30"/>
      <c r="T22" s="34"/>
      <c r="U22" s="34"/>
      <c r="V22" s="34"/>
    </row>
    <row r="23" spans="1:22" s="16" customFormat="1" ht="15" customHeight="1">
      <c r="A23" s="23" t="s">
        <v>139</v>
      </c>
      <c r="B23" s="39"/>
      <c r="C23" s="39"/>
      <c r="D23" s="130" t="s">
        <v>141</v>
      </c>
      <c r="E23" s="131"/>
      <c r="F23" s="132"/>
      <c r="G23" s="67"/>
      <c r="H23" s="20">
        <f t="shared" si="9"/>
        <v>34</v>
      </c>
      <c r="I23" s="11">
        <v>46218</v>
      </c>
      <c r="J23" s="11">
        <v>46265</v>
      </c>
      <c r="K23" s="25">
        <f t="shared" ca="1" si="13"/>
        <v>0</v>
      </c>
      <c r="L23" s="40">
        <v>100</v>
      </c>
      <c r="M23" s="41">
        <f t="shared" ca="1" si="10"/>
        <v>100</v>
      </c>
      <c r="N23" s="38">
        <f t="shared" ca="1" si="11"/>
        <v>0</v>
      </c>
      <c r="O23" s="26" t="s">
        <v>19</v>
      </c>
      <c r="P23" s="28"/>
      <c r="Q23" s="27" t="s">
        <v>143</v>
      </c>
      <c r="R23" s="69"/>
      <c r="S23" s="30"/>
      <c r="T23" s="34"/>
      <c r="U23" s="34"/>
      <c r="V23" s="34"/>
    </row>
    <row r="24" spans="1:22" s="16" customFormat="1" ht="15" customHeight="1">
      <c r="A24" s="59">
        <v>1.6</v>
      </c>
      <c r="B24" s="52"/>
      <c r="C24" s="120" t="s">
        <v>142</v>
      </c>
      <c r="D24" s="121"/>
      <c r="E24" s="121"/>
      <c r="F24" s="122"/>
      <c r="G24" s="65">
        <v>0.85</v>
      </c>
      <c r="H24" s="53">
        <f t="shared" si="0"/>
        <v>34</v>
      </c>
      <c r="I24" s="54">
        <f>MIN(I26:I26)</f>
        <v>46218</v>
      </c>
      <c r="J24" s="54">
        <f>MAX(J26:J26)</f>
        <v>46265</v>
      </c>
      <c r="K24" s="55">
        <f ca="1">AVERAGE(K26:K26)</f>
        <v>0</v>
      </c>
      <c r="L24" s="55">
        <f>AVERAGE(L26:L26)</f>
        <v>100</v>
      </c>
      <c r="M24" s="56">
        <f t="shared" ca="1" si="10"/>
        <v>100</v>
      </c>
      <c r="N24" s="57">
        <f t="shared" ca="1" si="1"/>
        <v>0</v>
      </c>
      <c r="O24" s="58" t="s">
        <v>96</v>
      </c>
      <c r="P24" s="75"/>
      <c r="Q24" s="60"/>
      <c r="R24" s="70"/>
      <c r="S24" s="30"/>
      <c r="T24" s="63"/>
      <c r="U24" s="64"/>
      <c r="V24" s="34"/>
    </row>
    <row r="25" spans="1:22" s="16" customFormat="1" ht="15" customHeight="1">
      <c r="A25" s="23" t="s">
        <v>138</v>
      </c>
      <c r="B25" s="39"/>
      <c r="C25" s="39"/>
      <c r="D25" s="123" t="s">
        <v>144</v>
      </c>
      <c r="E25" s="124"/>
      <c r="F25" s="125"/>
      <c r="G25" s="67"/>
      <c r="H25" s="20">
        <f t="shared" ref="H25" si="14">NETWORKDAYS(I25,J25, $T$7:$T$26)</f>
        <v>56</v>
      </c>
      <c r="I25" s="11">
        <v>46188</v>
      </c>
      <c r="J25" s="11">
        <v>46265</v>
      </c>
      <c r="K25" s="25">
        <f t="shared" ref="K25" ca="1" si="15">IF($O$1&gt;=J25,100,(N25/H25)*100)</f>
        <v>0</v>
      </c>
      <c r="L25" s="40">
        <v>100</v>
      </c>
      <c r="M25" s="41">
        <f t="shared" ca="1" si="10"/>
        <v>100</v>
      </c>
      <c r="N25" s="38">
        <f t="shared" ref="N25" ca="1" si="16">IF(I25&gt;$O$1,0,IF(I25=$O$1,1,NETWORKDAYS(I25,$O$1, $T$7:$T$26)))</f>
        <v>0</v>
      </c>
      <c r="O25" s="26" t="s">
        <v>69</v>
      </c>
      <c r="P25" s="28"/>
      <c r="Q25" s="27" t="s">
        <v>136</v>
      </c>
      <c r="R25" s="69" t="s">
        <v>146</v>
      </c>
      <c r="S25" s="30"/>
      <c r="T25" s="34"/>
      <c r="U25" s="34"/>
      <c r="V25" s="34"/>
    </row>
    <row r="26" spans="1:22" s="16" customFormat="1" ht="15" customHeight="1">
      <c r="A26" s="23" t="s">
        <v>139</v>
      </c>
      <c r="B26" s="39"/>
      <c r="C26" s="39"/>
      <c r="D26" s="123" t="s">
        <v>145</v>
      </c>
      <c r="E26" s="124"/>
      <c r="F26" s="125"/>
      <c r="G26" s="67"/>
      <c r="H26" s="20">
        <f t="shared" si="0"/>
        <v>34</v>
      </c>
      <c r="I26" s="11">
        <v>46218</v>
      </c>
      <c r="J26" s="11">
        <v>46265</v>
      </c>
      <c r="K26" s="25">
        <f t="shared" ref="K26" ca="1" si="17">IF($O$1&gt;=J26,100,(N26/H26)*100)</f>
        <v>0</v>
      </c>
      <c r="L26" s="40">
        <v>100</v>
      </c>
      <c r="M26" s="41">
        <f t="shared" ca="1" si="10"/>
        <v>100</v>
      </c>
      <c r="N26" s="38">
        <f t="shared" ca="1" si="1"/>
        <v>0</v>
      </c>
      <c r="O26" s="26" t="s">
        <v>69</v>
      </c>
      <c r="P26" s="28"/>
      <c r="Q26" s="27" t="s">
        <v>136</v>
      </c>
      <c r="R26" s="69" t="s">
        <v>147</v>
      </c>
      <c r="S26" s="30"/>
      <c r="T26" s="34"/>
      <c r="U26" s="34"/>
      <c r="V26" s="34"/>
    </row>
    <row r="27" spans="1:22" s="16" customFormat="1" ht="15" customHeight="1">
      <c r="A27" s="1">
        <v>2</v>
      </c>
      <c r="B27" s="135" t="s">
        <v>160</v>
      </c>
      <c r="C27" s="136"/>
      <c r="D27" s="136"/>
      <c r="E27" s="136"/>
      <c r="F27" s="137"/>
      <c r="G27" s="66">
        <v>0.25</v>
      </c>
      <c r="H27" s="7">
        <f t="shared" si="0"/>
        <v>164</v>
      </c>
      <c r="I27" s="8">
        <f>MIN(I28:I46)</f>
        <v>46160</v>
      </c>
      <c r="J27" s="8">
        <f>MAX(J28:J46)</f>
        <v>46387</v>
      </c>
      <c r="K27" s="17">
        <f ca="1">(K28*$G$8)+(K45*$G$24)</f>
        <v>0.625</v>
      </c>
      <c r="L27" s="17">
        <f>(L28*$G$8)+(L45*$G$24)</f>
        <v>0</v>
      </c>
      <c r="M27" s="18">
        <f t="shared" ca="1" si="10"/>
        <v>-0.625</v>
      </c>
      <c r="N27" s="19">
        <f t="shared" ca="1" si="1"/>
        <v>15</v>
      </c>
      <c r="O27" s="9"/>
      <c r="P27" s="9"/>
      <c r="Q27" s="10"/>
      <c r="R27" s="71"/>
      <c r="S27" s="30"/>
      <c r="T27" s="63">
        <v>45811</v>
      </c>
      <c r="U27" s="64" t="s">
        <v>25</v>
      </c>
    </row>
    <row r="28" spans="1:22" s="16" customFormat="1" ht="15" customHeight="1">
      <c r="A28" s="59">
        <v>2.1</v>
      </c>
      <c r="B28" s="52"/>
      <c r="C28" s="120" t="s">
        <v>67</v>
      </c>
      <c r="D28" s="121"/>
      <c r="E28" s="121"/>
      <c r="F28" s="122"/>
      <c r="G28" s="65">
        <v>0.15</v>
      </c>
      <c r="H28" s="53">
        <f t="shared" si="0"/>
        <v>141</v>
      </c>
      <c r="I28" s="54">
        <f>MIN(I29:I31)</f>
        <v>46160</v>
      </c>
      <c r="J28" s="54">
        <f>MAX(J29:J31)</f>
        <v>46356</v>
      </c>
      <c r="K28" s="55">
        <f ca="1">AVERAGE(K29:K31)</f>
        <v>4.166666666666667</v>
      </c>
      <c r="L28" s="55">
        <f>AVERAGE(L29:L31)</f>
        <v>0</v>
      </c>
      <c r="M28" s="56">
        <f t="shared" ca="1" si="10"/>
        <v>-4.166666666666667</v>
      </c>
      <c r="N28" s="57">
        <f t="shared" ca="1" si="1"/>
        <v>15</v>
      </c>
      <c r="O28" s="58" t="s">
        <v>96</v>
      </c>
      <c r="P28" s="58"/>
      <c r="Q28" s="60"/>
      <c r="R28" s="70"/>
      <c r="S28" s="30"/>
      <c r="T28" s="63">
        <v>45814</v>
      </c>
      <c r="U28" s="64" t="s">
        <v>26</v>
      </c>
    </row>
    <row r="29" spans="1:22" s="16" customFormat="1" ht="15" customHeight="1">
      <c r="A29" s="23" t="s">
        <v>12</v>
      </c>
      <c r="B29" s="39"/>
      <c r="C29" s="39"/>
      <c r="D29" s="130" t="s">
        <v>64</v>
      </c>
      <c r="E29" s="131"/>
      <c r="F29" s="132"/>
      <c r="G29" s="67"/>
      <c r="H29" s="20">
        <f t="shared" si="0"/>
        <v>120</v>
      </c>
      <c r="I29" s="11">
        <v>46160</v>
      </c>
      <c r="J29" s="11">
        <v>46325</v>
      </c>
      <c r="K29" s="25">
        <f t="shared" ref="K29:K31" ca="1" si="18">IF($O$1&gt;=J29,100,(N29/H29)*100)</f>
        <v>12.5</v>
      </c>
      <c r="L29" s="40">
        <v>0</v>
      </c>
      <c r="M29" s="41">
        <f t="shared" ca="1" si="10"/>
        <v>-12.5</v>
      </c>
      <c r="N29" s="38">
        <f t="shared" ca="1" si="1"/>
        <v>15</v>
      </c>
      <c r="O29" s="26" t="s">
        <v>69</v>
      </c>
      <c r="P29" s="28"/>
      <c r="Q29" s="27" t="s">
        <v>81</v>
      </c>
      <c r="R29" s="69"/>
      <c r="S29" s="31"/>
      <c r="T29" s="63">
        <v>45884</v>
      </c>
      <c r="U29" s="64" t="s">
        <v>27</v>
      </c>
    </row>
    <row r="30" spans="1:22" s="16" customFormat="1" ht="15" customHeight="1">
      <c r="A30" s="23" t="s">
        <v>17</v>
      </c>
      <c r="B30" s="39"/>
      <c r="C30" s="39"/>
      <c r="D30" s="123" t="s">
        <v>86</v>
      </c>
      <c r="E30" s="124"/>
      <c r="F30" s="125"/>
      <c r="G30" s="67"/>
      <c r="H30" s="20">
        <f t="shared" si="0"/>
        <v>65</v>
      </c>
      <c r="I30" s="11">
        <v>46237</v>
      </c>
      <c r="J30" s="11">
        <v>46325</v>
      </c>
      <c r="K30" s="25">
        <f t="shared" ref="K30" ca="1" si="19">IF($O$1&gt;=J30,100,(N30/H30)*100)</f>
        <v>0</v>
      </c>
      <c r="L30" s="40">
        <v>0</v>
      </c>
      <c r="M30" s="41">
        <f t="shared" ref="M30" ca="1" si="20">L30-K30</f>
        <v>0</v>
      </c>
      <c r="N30" s="38">
        <f t="shared" ca="1" si="1"/>
        <v>0</v>
      </c>
      <c r="O30" s="26" t="s">
        <v>69</v>
      </c>
      <c r="P30" s="28"/>
      <c r="Q30" s="27" t="s">
        <v>136</v>
      </c>
      <c r="R30" s="69" t="s">
        <v>87</v>
      </c>
      <c r="S30" s="31"/>
      <c r="T30" s="63"/>
      <c r="U30" s="64"/>
    </row>
    <row r="31" spans="1:22" s="16" customFormat="1" ht="15" customHeight="1">
      <c r="A31" s="23" t="s">
        <v>24</v>
      </c>
      <c r="B31" s="39"/>
      <c r="C31" s="39"/>
      <c r="D31" s="123" t="s">
        <v>95</v>
      </c>
      <c r="E31" s="124"/>
      <c r="F31" s="125"/>
      <c r="G31" s="67"/>
      <c r="H31" s="20">
        <f t="shared" si="0"/>
        <v>65</v>
      </c>
      <c r="I31" s="11">
        <v>46266</v>
      </c>
      <c r="J31" s="11">
        <v>46356</v>
      </c>
      <c r="K31" s="25">
        <f t="shared" ca="1" si="18"/>
        <v>0</v>
      </c>
      <c r="L31" s="40">
        <v>0</v>
      </c>
      <c r="M31" s="41">
        <f t="shared" ref="M31" ca="1" si="21">L31-K31</f>
        <v>0</v>
      </c>
      <c r="N31" s="38">
        <f t="shared" ca="1" si="1"/>
        <v>0</v>
      </c>
      <c r="O31" s="26" t="s">
        <v>77</v>
      </c>
      <c r="P31" s="28"/>
      <c r="Q31" s="27" t="s">
        <v>99</v>
      </c>
      <c r="R31" s="69"/>
      <c r="S31" s="31"/>
      <c r="T31" s="63"/>
      <c r="U31" s="64"/>
    </row>
    <row r="32" spans="1:22" s="16" customFormat="1" ht="15" customHeight="1">
      <c r="A32" s="59">
        <v>2.2000000000000002</v>
      </c>
      <c r="B32" s="52"/>
      <c r="C32" s="120" t="s">
        <v>82</v>
      </c>
      <c r="D32" s="121"/>
      <c r="E32" s="121"/>
      <c r="F32" s="122"/>
      <c r="G32" s="65">
        <v>0.85</v>
      </c>
      <c r="H32" s="53">
        <f t="shared" si="0"/>
        <v>158</v>
      </c>
      <c r="I32" s="54">
        <f>MIN(I33:I46)</f>
        <v>46168</v>
      </c>
      <c r="J32" s="54">
        <f>MAX(J33:J46)</f>
        <v>46387</v>
      </c>
      <c r="K32" s="55">
        <f ca="1">AVERAGE(K33:K46)</f>
        <v>0.84586466165413532</v>
      </c>
      <c r="L32" s="55">
        <f>AVERAGE(L33:L46)</f>
        <v>1.0714285714285714</v>
      </c>
      <c r="M32" s="56">
        <f ca="1">L32-K32</f>
        <v>0.22556390977443608</v>
      </c>
      <c r="N32" s="57">
        <f t="shared" ca="1" si="1"/>
        <v>9</v>
      </c>
      <c r="O32" s="58" t="s">
        <v>83</v>
      </c>
      <c r="P32" s="75"/>
      <c r="Q32" s="60"/>
      <c r="R32" s="70"/>
      <c r="S32" s="30"/>
      <c r="T32" s="63"/>
      <c r="U32" s="64"/>
      <c r="V32" s="34"/>
    </row>
    <row r="33" spans="1:22" s="16" customFormat="1" ht="15" customHeight="1">
      <c r="A33" s="23" t="s">
        <v>13</v>
      </c>
      <c r="B33" s="39"/>
      <c r="C33" s="39"/>
      <c r="D33" s="130" t="s">
        <v>84</v>
      </c>
      <c r="E33" s="131"/>
      <c r="F33" s="132"/>
      <c r="G33" s="67"/>
      <c r="H33" s="20">
        <f t="shared" si="0"/>
        <v>100</v>
      </c>
      <c r="I33" s="11">
        <v>46188</v>
      </c>
      <c r="J33" s="11">
        <v>46325</v>
      </c>
      <c r="K33" s="25">
        <f t="shared" ref="K33" ca="1" si="22">IF($O$1&gt;=J33,100,(N33/H33)*100)</f>
        <v>0</v>
      </c>
      <c r="L33" s="40">
        <v>0</v>
      </c>
      <c r="M33" s="41">
        <f ca="1">L33-K33</f>
        <v>0</v>
      </c>
      <c r="N33" s="38">
        <f t="shared" ca="1" si="1"/>
        <v>0</v>
      </c>
      <c r="O33" s="26" t="s">
        <v>83</v>
      </c>
      <c r="P33" s="28"/>
      <c r="Q33" s="27" t="s">
        <v>81</v>
      </c>
      <c r="R33" s="69"/>
      <c r="S33" s="30"/>
      <c r="T33" s="34"/>
      <c r="U33" s="34"/>
      <c r="V33" s="34"/>
    </row>
    <row r="34" spans="1:22" s="16" customFormat="1" ht="15" customHeight="1">
      <c r="A34" s="59">
        <v>2.2999999999999998</v>
      </c>
      <c r="B34" s="52"/>
      <c r="C34" s="120" t="s">
        <v>85</v>
      </c>
      <c r="D34" s="121"/>
      <c r="E34" s="121"/>
      <c r="F34" s="122"/>
      <c r="G34" s="65">
        <v>0.85</v>
      </c>
      <c r="H34" s="53">
        <f t="shared" si="0"/>
        <v>86</v>
      </c>
      <c r="I34" s="54">
        <f>MIN(I35:I37)</f>
        <v>46237</v>
      </c>
      <c r="J34" s="54">
        <f>MAX(J35:J37)</f>
        <v>46356</v>
      </c>
      <c r="K34" s="55">
        <f ca="1">AVERAGE(K35:K37)</f>
        <v>0</v>
      </c>
      <c r="L34" s="55">
        <f>AVERAGE(L35:L37)</f>
        <v>0</v>
      </c>
      <c r="M34" s="56">
        <f ca="1">L34-K34</f>
        <v>0</v>
      </c>
      <c r="N34" s="57">
        <f t="shared" ca="1" si="1"/>
        <v>0</v>
      </c>
      <c r="O34" s="58" t="s">
        <v>69</v>
      </c>
      <c r="P34" s="75"/>
      <c r="Q34" s="60"/>
      <c r="R34" s="70"/>
      <c r="S34" s="30"/>
      <c r="T34" s="63"/>
      <c r="U34" s="64"/>
      <c r="V34" s="34"/>
    </row>
    <row r="35" spans="1:22" s="16" customFormat="1" ht="15" customHeight="1">
      <c r="A35" s="23" t="s">
        <v>90</v>
      </c>
      <c r="B35" s="39"/>
      <c r="C35" s="39"/>
      <c r="D35" s="130" t="s">
        <v>85</v>
      </c>
      <c r="E35" s="131"/>
      <c r="F35" s="132"/>
      <c r="G35" s="67"/>
      <c r="H35" s="20">
        <f t="shared" si="0"/>
        <v>86</v>
      </c>
      <c r="I35" s="11">
        <v>46237</v>
      </c>
      <c r="J35" s="11">
        <v>46356</v>
      </c>
      <c r="K35" s="25">
        <f t="shared" ref="K35:K37" ca="1" si="23">IF($O$1&gt;=J35,100,(N35/H35)*100)</f>
        <v>0</v>
      </c>
      <c r="L35" s="40">
        <v>0</v>
      </c>
      <c r="M35" s="41">
        <f ca="1">L35-K35</f>
        <v>0</v>
      </c>
      <c r="N35" s="38">
        <f t="shared" ca="1" si="1"/>
        <v>0</v>
      </c>
      <c r="O35" s="26" t="s">
        <v>69</v>
      </c>
      <c r="P35" s="28"/>
      <c r="Q35" s="27"/>
      <c r="R35" s="69"/>
      <c r="S35" s="30"/>
      <c r="T35" s="34"/>
      <c r="U35" s="34"/>
      <c r="V35" s="34"/>
    </row>
    <row r="36" spans="1:22" s="16" customFormat="1" ht="15" customHeight="1">
      <c r="A36" s="23" t="s">
        <v>91</v>
      </c>
      <c r="B36" s="39"/>
      <c r="C36" s="39"/>
      <c r="D36" s="123" t="s">
        <v>88</v>
      </c>
      <c r="E36" s="124"/>
      <c r="F36" s="125"/>
      <c r="G36" s="67"/>
      <c r="H36" s="20">
        <f t="shared" si="0"/>
        <v>86</v>
      </c>
      <c r="I36" s="11">
        <v>46237</v>
      </c>
      <c r="J36" s="11">
        <v>46356</v>
      </c>
      <c r="K36" s="25">
        <f t="shared" ref="K36" ca="1" si="24">IF($O$1&gt;=J36,100,(N36/H36)*100)</f>
        <v>0</v>
      </c>
      <c r="L36" s="40">
        <v>0</v>
      </c>
      <c r="M36" s="41">
        <f t="shared" ref="M36" ca="1" si="25">L36-K36</f>
        <v>0</v>
      </c>
      <c r="N36" s="38">
        <f t="shared" ca="1" si="1"/>
        <v>0</v>
      </c>
      <c r="O36" s="26" t="s">
        <v>69</v>
      </c>
      <c r="P36" s="28"/>
      <c r="Q36" s="27" t="s">
        <v>136</v>
      </c>
      <c r="R36" s="69" t="s">
        <v>89</v>
      </c>
      <c r="S36" s="30"/>
      <c r="T36" s="34"/>
      <c r="U36" s="34"/>
      <c r="V36" s="34"/>
    </row>
    <row r="37" spans="1:22" s="16" customFormat="1" ht="15" customHeight="1">
      <c r="A37" s="23" t="s">
        <v>97</v>
      </c>
      <c r="B37" s="39"/>
      <c r="C37" s="39"/>
      <c r="D37" s="123" t="s">
        <v>98</v>
      </c>
      <c r="E37" s="124"/>
      <c r="F37" s="125"/>
      <c r="G37" s="67"/>
      <c r="H37" s="20">
        <f t="shared" si="0"/>
        <v>65</v>
      </c>
      <c r="I37" s="11">
        <v>46266</v>
      </c>
      <c r="J37" s="11">
        <v>46356</v>
      </c>
      <c r="K37" s="25">
        <f t="shared" ca="1" si="23"/>
        <v>0</v>
      </c>
      <c r="L37" s="40">
        <v>0</v>
      </c>
      <c r="M37" s="41">
        <f t="shared" ref="M37" ca="1" si="26">L37-K37</f>
        <v>0</v>
      </c>
      <c r="N37" s="38">
        <f t="shared" ca="1" si="1"/>
        <v>0</v>
      </c>
      <c r="O37" s="26" t="s">
        <v>77</v>
      </c>
      <c r="P37" s="28"/>
      <c r="Q37" s="27" t="s">
        <v>99</v>
      </c>
      <c r="R37" s="69"/>
      <c r="S37" s="30"/>
      <c r="T37" s="34"/>
      <c r="U37" s="34"/>
      <c r="V37" s="34"/>
    </row>
    <row r="38" spans="1:22" s="16" customFormat="1" ht="15" customHeight="1">
      <c r="A38" s="59">
        <v>2.4</v>
      </c>
      <c r="B38" s="52"/>
      <c r="C38" s="120" t="s">
        <v>92</v>
      </c>
      <c r="D38" s="121"/>
      <c r="E38" s="121"/>
      <c r="F38" s="122"/>
      <c r="G38" s="65">
        <v>0.85</v>
      </c>
      <c r="H38" s="53">
        <f t="shared" si="0"/>
        <v>135</v>
      </c>
      <c r="I38" s="54">
        <f>MIN(I39:I40)</f>
        <v>46168</v>
      </c>
      <c r="J38" s="54">
        <f>MAX(J39:J40)</f>
        <v>46356</v>
      </c>
      <c r="K38" s="55">
        <f ca="1">AVERAGE(K39:K40)</f>
        <v>3.9473684210526314</v>
      </c>
      <c r="L38" s="55">
        <f>AVERAGE(L39:L40)</f>
        <v>5</v>
      </c>
      <c r="M38" s="56">
        <f ca="1">L38-K38</f>
        <v>1.0526315789473686</v>
      </c>
      <c r="N38" s="57">
        <f t="shared" ca="1" si="1"/>
        <v>9</v>
      </c>
      <c r="O38" s="58" t="s">
        <v>94</v>
      </c>
      <c r="P38" s="75"/>
      <c r="Q38" s="60"/>
      <c r="R38" s="70"/>
      <c r="S38" s="30"/>
      <c r="T38" s="63"/>
      <c r="U38" s="64"/>
      <c r="V38" s="34"/>
    </row>
    <row r="39" spans="1:22" s="16" customFormat="1" ht="15" customHeight="1">
      <c r="A39" s="23" t="s">
        <v>148</v>
      </c>
      <c r="B39" s="39"/>
      <c r="C39" s="39"/>
      <c r="D39" s="130" t="s">
        <v>93</v>
      </c>
      <c r="E39" s="131"/>
      <c r="F39" s="132"/>
      <c r="G39" s="67"/>
      <c r="H39" s="20">
        <f t="shared" si="0"/>
        <v>114</v>
      </c>
      <c r="I39" s="11">
        <v>46168</v>
      </c>
      <c r="J39" s="11">
        <v>46325</v>
      </c>
      <c r="K39" s="25">
        <f t="shared" ref="K39:K40" ca="1" si="27">IF($O$1&gt;=J39,100,(N39/H39)*100)</f>
        <v>7.8947368421052628</v>
      </c>
      <c r="L39" s="40">
        <v>10</v>
      </c>
      <c r="M39" s="41">
        <f ca="1">L39-K39</f>
        <v>2.1052631578947372</v>
      </c>
      <c r="N39" s="38">
        <f t="shared" ca="1" si="1"/>
        <v>9</v>
      </c>
      <c r="O39" s="26" t="s">
        <v>101</v>
      </c>
      <c r="P39" s="28"/>
      <c r="Q39" s="27"/>
      <c r="R39" s="69"/>
      <c r="S39" s="30"/>
      <c r="T39" s="34"/>
      <c r="U39" s="34"/>
      <c r="V39" s="34"/>
    </row>
    <row r="40" spans="1:22" s="16" customFormat="1" ht="15" customHeight="1">
      <c r="A40" s="23" t="s">
        <v>149</v>
      </c>
      <c r="B40" s="39"/>
      <c r="C40" s="39"/>
      <c r="D40" s="123" t="s">
        <v>100</v>
      </c>
      <c r="E40" s="124"/>
      <c r="F40" s="125"/>
      <c r="G40" s="67"/>
      <c r="H40" s="20">
        <f t="shared" si="0"/>
        <v>109</v>
      </c>
      <c r="I40" s="11">
        <v>46204</v>
      </c>
      <c r="J40" s="11">
        <v>46356</v>
      </c>
      <c r="K40" s="25">
        <f t="shared" ca="1" si="27"/>
        <v>0</v>
      </c>
      <c r="L40" s="40">
        <v>0</v>
      </c>
      <c r="M40" s="41">
        <f t="shared" ref="M40" ca="1" si="28">L40-K40</f>
        <v>0</v>
      </c>
      <c r="N40" s="38">
        <f t="shared" ca="1" si="1"/>
        <v>0</v>
      </c>
      <c r="O40" s="26" t="s">
        <v>77</v>
      </c>
      <c r="P40" s="28"/>
      <c r="Q40" s="27" t="s">
        <v>89</v>
      </c>
      <c r="R40" s="69"/>
      <c r="S40" s="30"/>
      <c r="T40" s="34"/>
      <c r="U40" s="34"/>
      <c r="V40" s="34"/>
    </row>
    <row r="41" spans="1:22" s="16" customFormat="1" ht="15" customHeight="1">
      <c r="A41" s="59">
        <v>2.5</v>
      </c>
      <c r="B41" s="52"/>
      <c r="C41" s="120" t="s">
        <v>102</v>
      </c>
      <c r="D41" s="121"/>
      <c r="E41" s="121"/>
      <c r="F41" s="122"/>
      <c r="G41" s="65">
        <v>0.85</v>
      </c>
      <c r="H41" s="53">
        <f t="shared" ref="H41:H44" si="29">NETWORKDAYS(I41,J41, $T$7:$T$26)</f>
        <v>88</v>
      </c>
      <c r="I41" s="54">
        <f>MIN(I42:I44)</f>
        <v>46266</v>
      </c>
      <c r="J41" s="54">
        <f>MAX(J42:J44)</f>
        <v>46387</v>
      </c>
      <c r="K41" s="55">
        <f ca="1">AVERAGE(K42:K44)</f>
        <v>0</v>
      </c>
      <c r="L41" s="55">
        <f>AVERAGE(L42:L44)</f>
        <v>0</v>
      </c>
      <c r="M41" s="56">
        <f ca="1">L41-K41</f>
        <v>0</v>
      </c>
      <c r="N41" s="57">
        <f t="shared" ref="N41:N44" ca="1" si="30">IF(I41&gt;$O$1,0,IF(I41=$O$1,1,NETWORKDAYS(I41,$O$1, $T$7:$T$26)))</f>
        <v>0</v>
      </c>
      <c r="O41" s="58" t="s">
        <v>77</v>
      </c>
      <c r="P41" s="75"/>
      <c r="Q41" s="60"/>
      <c r="R41" s="70"/>
      <c r="S41" s="30"/>
      <c r="T41" s="63"/>
      <c r="U41" s="64"/>
      <c r="V41" s="34"/>
    </row>
    <row r="42" spans="1:22" s="16" customFormat="1" ht="15" customHeight="1">
      <c r="A42" s="23" t="s">
        <v>150</v>
      </c>
      <c r="B42" s="39"/>
      <c r="C42" s="39"/>
      <c r="D42" s="130" t="s">
        <v>104</v>
      </c>
      <c r="E42" s="131"/>
      <c r="F42" s="132"/>
      <c r="G42" s="67"/>
      <c r="H42" s="20">
        <f t="shared" si="29"/>
        <v>65</v>
      </c>
      <c r="I42" s="11">
        <v>46266</v>
      </c>
      <c r="J42" s="11">
        <v>46356</v>
      </c>
      <c r="K42" s="25">
        <f t="shared" ref="K42:K44" ca="1" si="31">IF($O$1&gt;=J42,100,(N42/H42)*100)</f>
        <v>0</v>
      </c>
      <c r="L42" s="40">
        <v>0</v>
      </c>
      <c r="M42" s="41">
        <f ca="1">L42-K42</f>
        <v>0</v>
      </c>
      <c r="N42" s="38">
        <f t="shared" ca="1" si="30"/>
        <v>0</v>
      </c>
      <c r="O42" s="26" t="s">
        <v>77</v>
      </c>
      <c r="P42" s="28"/>
      <c r="Q42" s="27"/>
      <c r="R42" s="69"/>
      <c r="S42" s="30"/>
      <c r="T42" s="34"/>
      <c r="U42" s="34"/>
      <c r="V42" s="34"/>
    </row>
    <row r="43" spans="1:22" s="16" customFormat="1" ht="15" customHeight="1">
      <c r="A43" s="23" t="s">
        <v>151</v>
      </c>
      <c r="B43" s="39"/>
      <c r="C43" s="39"/>
      <c r="D43" s="123" t="s">
        <v>103</v>
      </c>
      <c r="E43" s="124"/>
      <c r="F43" s="125"/>
      <c r="G43" s="67"/>
      <c r="H43" s="20">
        <f t="shared" si="29"/>
        <v>65</v>
      </c>
      <c r="I43" s="11">
        <v>46266</v>
      </c>
      <c r="J43" s="11">
        <v>46356</v>
      </c>
      <c r="K43" s="25">
        <f t="shared" ca="1" si="31"/>
        <v>0</v>
      </c>
      <c r="L43" s="40">
        <v>0</v>
      </c>
      <c r="M43" s="41">
        <f ca="1">L43-K43</f>
        <v>0</v>
      </c>
      <c r="N43" s="38">
        <f t="shared" ca="1" si="30"/>
        <v>0</v>
      </c>
      <c r="O43" s="26" t="s">
        <v>77</v>
      </c>
      <c r="P43" s="28"/>
      <c r="Q43" s="27"/>
      <c r="R43" s="69"/>
      <c r="S43" s="30"/>
      <c r="T43" s="34"/>
      <c r="U43" s="34"/>
      <c r="V43" s="34"/>
    </row>
    <row r="44" spans="1:22" s="16" customFormat="1" ht="15" customHeight="1">
      <c r="A44" s="23" t="s">
        <v>152</v>
      </c>
      <c r="B44" s="39"/>
      <c r="C44" s="39"/>
      <c r="D44" s="123" t="s">
        <v>125</v>
      </c>
      <c r="E44" s="124"/>
      <c r="F44" s="125"/>
      <c r="G44" s="67"/>
      <c r="H44" s="20">
        <f t="shared" si="29"/>
        <v>44</v>
      </c>
      <c r="I44" s="11">
        <v>46328</v>
      </c>
      <c r="J44" s="11">
        <v>46387</v>
      </c>
      <c r="K44" s="25">
        <f t="shared" ca="1" si="31"/>
        <v>0</v>
      </c>
      <c r="L44" s="40">
        <v>0</v>
      </c>
      <c r="M44" s="41">
        <f t="shared" ref="M44" ca="1" si="32">L44-K44</f>
        <v>0</v>
      </c>
      <c r="N44" s="38">
        <f t="shared" ca="1" si="30"/>
        <v>0</v>
      </c>
      <c r="O44" s="26" t="s">
        <v>77</v>
      </c>
      <c r="P44" s="28"/>
      <c r="Q44" s="27" t="s">
        <v>99</v>
      </c>
      <c r="R44" s="69" t="s">
        <v>126</v>
      </c>
      <c r="S44" s="30"/>
      <c r="T44" s="34"/>
      <c r="U44" s="34"/>
      <c r="V44" s="34"/>
    </row>
    <row r="45" spans="1:22" s="16" customFormat="1" ht="15" customHeight="1">
      <c r="A45" s="59">
        <v>2.6</v>
      </c>
      <c r="B45" s="52"/>
      <c r="C45" s="120" t="s">
        <v>153</v>
      </c>
      <c r="D45" s="121"/>
      <c r="E45" s="121"/>
      <c r="F45" s="122"/>
      <c r="G45" s="65">
        <v>0.85</v>
      </c>
      <c r="H45" s="53">
        <f t="shared" si="0"/>
        <v>65</v>
      </c>
      <c r="I45" s="54">
        <f>MIN(I46:I46)</f>
        <v>46266</v>
      </c>
      <c r="J45" s="54">
        <f>MAX(J46:J46)</f>
        <v>46356</v>
      </c>
      <c r="K45" s="55">
        <f ca="1">AVERAGE(K46:K46)</f>
        <v>0</v>
      </c>
      <c r="L45" s="55">
        <f>AVERAGE(L46:L46)</f>
        <v>0</v>
      </c>
      <c r="M45" s="56">
        <f ca="1">L45-K45</f>
        <v>0</v>
      </c>
      <c r="N45" s="57">
        <f t="shared" ca="1" si="1"/>
        <v>0</v>
      </c>
      <c r="O45" s="58" t="s">
        <v>77</v>
      </c>
      <c r="P45" s="75"/>
      <c r="Q45" s="60"/>
      <c r="R45" s="70"/>
      <c r="S45" s="30"/>
      <c r="T45" s="63"/>
      <c r="U45" s="64"/>
      <c r="V45" s="34"/>
    </row>
    <row r="46" spans="1:22" s="16" customFormat="1" ht="15" customHeight="1">
      <c r="A46" s="23" t="s">
        <v>150</v>
      </c>
      <c r="B46" s="39"/>
      <c r="C46" s="39"/>
      <c r="D46" s="130" t="s">
        <v>154</v>
      </c>
      <c r="E46" s="131"/>
      <c r="F46" s="132"/>
      <c r="G46" s="67"/>
      <c r="H46" s="20">
        <f t="shared" si="0"/>
        <v>65</v>
      </c>
      <c r="I46" s="11">
        <v>46266</v>
      </c>
      <c r="J46" s="11">
        <v>46356</v>
      </c>
      <c r="K46" s="25">
        <f t="shared" ref="K46" ca="1" si="33">IF($O$1&gt;=J46,100,(N46/H46)*100)</f>
        <v>0</v>
      </c>
      <c r="L46" s="40">
        <v>0</v>
      </c>
      <c r="M46" s="41">
        <f ca="1">L46-K46</f>
        <v>0</v>
      </c>
      <c r="N46" s="38">
        <f t="shared" ca="1" si="1"/>
        <v>0</v>
      </c>
      <c r="O46" s="26" t="s">
        <v>77</v>
      </c>
      <c r="P46" s="28"/>
      <c r="Q46" s="27" t="s">
        <v>155</v>
      </c>
      <c r="R46" s="69" t="s">
        <v>156</v>
      </c>
      <c r="S46" s="30"/>
      <c r="T46" s="34"/>
      <c r="U46" s="34"/>
      <c r="V46" s="34"/>
    </row>
    <row r="47" spans="1:22" s="16" customFormat="1" ht="15" customHeight="1">
      <c r="A47" s="1">
        <v>3</v>
      </c>
      <c r="B47" s="135" t="s">
        <v>105</v>
      </c>
      <c r="C47" s="136"/>
      <c r="D47" s="136"/>
      <c r="E47" s="136"/>
      <c r="F47" s="137"/>
      <c r="G47" s="66">
        <v>0.75</v>
      </c>
      <c r="H47" s="7">
        <f t="shared" ref="H47:H62" si="34">NETWORKDAYS(I47,J47, $T$7:$T$26)</f>
        <v>154</v>
      </c>
      <c r="I47" s="8">
        <f>MIN(I48:I57)</f>
        <v>46174</v>
      </c>
      <c r="J47" s="8">
        <f>MAX(J48:J57)</f>
        <v>46387</v>
      </c>
      <c r="K47" s="17">
        <f ca="1">(K48*$G$8)+(K54*$G$24)</f>
        <v>1.4488636363636362</v>
      </c>
      <c r="L47" s="17">
        <f>(L48*$G$8)+(L54*$G$24)</f>
        <v>0</v>
      </c>
      <c r="M47" s="18">
        <f ca="1">L47-K47</f>
        <v>-1.4488636363636362</v>
      </c>
      <c r="N47" s="19">
        <f t="shared" ref="N47:N62" ca="1" si="35">IF(I47&gt;$O$1,0,IF(I47=$O$1,1,NETWORKDAYS(I47,$O$1, $T$7:$T$26)))</f>
        <v>5</v>
      </c>
      <c r="O47" s="9"/>
      <c r="P47" s="22"/>
      <c r="Q47" s="10"/>
      <c r="R47" s="71"/>
      <c r="S47" s="30"/>
    </row>
    <row r="48" spans="1:22" s="16" customFormat="1" ht="15" customHeight="1">
      <c r="A48" s="59">
        <v>3.1</v>
      </c>
      <c r="B48" s="52"/>
      <c r="C48" s="120" t="s">
        <v>106</v>
      </c>
      <c r="D48" s="121"/>
      <c r="E48" s="121"/>
      <c r="F48" s="122"/>
      <c r="G48" s="65">
        <v>0.9</v>
      </c>
      <c r="H48" s="53">
        <f t="shared" si="34"/>
        <v>132</v>
      </c>
      <c r="I48" s="54">
        <f>MIN(I49:I53)</f>
        <v>46204</v>
      </c>
      <c r="J48" s="54">
        <f>MAX(J49:J53)</f>
        <v>46387</v>
      </c>
      <c r="K48" s="55">
        <f ca="1">AVERAGE(K49:K53)</f>
        <v>0</v>
      </c>
      <c r="L48" s="55">
        <f>AVERAGE(L49:L53)</f>
        <v>0</v>
      </c>
      <c r="M48" s="56">
        <f ca="1">L48-K48</f>
        <v>0</v>
      </c>
      <c r="N48" s="57">
        <f t="shared" ca="1" si="35"/>
        <v>0</v>
      </c>
      <c r="O48" s="58" t="s">
        <v>77</v>
      </c>
      <c r="P48" s="75"/>
      <c r="Q48" s="60"/>
      <c r="R48" s="70"/>
      <c r="S48" s="30"/>
    </row>
    <row r="49" spans="1:19" s="16" customFormat="1" ht="15" customHeight="1">
      <c r="A49" s="23" t="s">
        <v>53</v>
      </c>
      <c r="B49" s="39"/>
      <c r="C49" s="61"/>
      <c r="D49" s="123" t="s">
        <v>107</v>
      </c>
      <c r="E49" s="124"/>
      <c r="F49" s="125"/>
      <c r="G49" s="68"/>
      <c r="H49" s="20">
        <f t="shared" si="34"/>
        <v>44</v>
      </c>
      <c r="I49" s="11">
        <v>46266</v>
      </c>
      <c r="J49" s="11">
        <v>46325</v>
      </c>
      <c r="K49" s="25">
        <f t="shared" ref="K49:K53" ca="1" si="36">IF($O$1&gt;=J49,100,(N49/H49)*100)</f>
        <v>0</v>
      </c>
      <c r="L49" s="25">
        <v>0</v>
      </c>
      <c r="M49" s="41">
        <f t="shared" ref="M49:M53" ca="1" si="37">L49-K49</f>
        <v>0</v>
      </c>
      <c r="N49" s="62">
        <f t="shared" ca="1" si="35"/>
        <v>0</v>
      </c>
      <c r="O49" s="26" t="s">
        <v>77</v>
      </c>
      <c r="P49" s="76"/>
      <c r="Q49" s="27" t="s">
        <v>109</v>
      </c>
      <c r="R49" s="69" t="s">
        <v>108</v>
      </c>
      <c r="S49" s="30"/>
    </row>
    <row r="50" spans="1:19" ht="15" customHeight="1">
      <c r="A50" s="23" t="s">
        <v>54</v>
      </c>
      <c r="B50" s="39"/>
      <c r="C50" s="61"/>
      <c r="D50" s="123" t="s">
        <v>110</v>
      </c>
      <c r="E50" s="124"/>
      <c r="F50" s="125"/>
      <c r="G50" s="68"/>
      <c r="H50" s="20">
        <f t="shared" si="34"/>
        <v>44</v>
      </c>
      <c r="I50" s="11">
        <v>46204</v>
      </c>
      <c r="J50" s="11">
        <v>46265</v>
      </c>
      <c r="K50" s="25">
        <f t="shared" ca="1" si="36"/>
        <v>0</v>
      </c>
      <c r="L50" s="25">
        <v>0</v>
      </c>
      <c r="M50" s="41">
        <f t="shared" ca="1" si="37"/>
        <v>0</v>
      </c>
      <c r="N50" s="62">
        <f t="shared" ca="1" si="35"/>
        <v>0</v>
      </c>
      <c r="O50" s="26" t="s">
        <v>77</v>
      </c>
      <c r="P50" s="76"/>
      <c r="Q50" s="27" t="s">
        <v>135</v>
      </c>
      <c r="R50" s="69"/>
      <c r="S50" s="30"/>
    </row>
    <row r="51" spans="1:19" ht="15" customHeight="1">
      <c r="A51" s="23" t="s">
        <v>55</v>
      </c>
      <c r="B51" s="39"/>
      <c r="C51" s="61"/>
      <c r="D51" s="123" t="s">
        <v>111</v>
      </c>
      <c r="E51" s="124"/>
      <c r="F51" s="125"/>
      <c r="G51" s="68"/>
      <c r="H51" s="20">
        <f t="shared" si="34"/>
        <v>65</v>
      </c>
      <c r="I51" s="11">
        <v>46266</v>
      </c>
      <c r="J51" s="11">
        <v>46356</v>
      </c>
      <c r="K51" s="25">
        <f t="shared" ca="1" si="36"/>
        <v>0</v>
      </c>
      <c r="L51" s="25">
        <v>0</v>
      </c>
      <c r="M51" s="41">
        <f t="shared" ca="1" si="37"/>
        <v>0</v>
      </c>
      <c r="N51" s="62">
        <f t="shared" ca="1" si="35"/>
        <v>0</v>
      </c>
      <c r="O51" s="26" t="s">
        <v>77</v>
      </c>
      <c r="P51" s="76"/>
      <c r="Q51" s="27"/>
      <c r="R51" s="69"/>
      <c r="S51" s="31"/>
    </row>
    <row r="52" spans="1:19" ht="15" customHeight="1">
      <c r="A52" s="23" t="s">
        <v>56</v>
      </c>
      <c r="B52" s="39"/>
      <c r="C52" s="61"/>
      <c r="D52" s="123" t="s">
        <v>112</v>
      </c>
      <c r="E52" s="124"/>
      <c r="F52" s="125"/>
      <c r="G52" s="68"/>
      <c r="H52" s="20">
        <f t="shared" si="34"/>
        <v>30</v>
      </c>
      <c r="I52" s="11">
        <v>46328</v>
      </c>
      <c r="J52" s="11">
        <v>46367</v>
      </c>
      <c r="K52" s="25">
        <f t="shared" ca="1" si="36"/>
        <v>0</v>
      </c>
      <c r="L52" s="25">
        <v>0</v>
      </c>
      <c r="M52" s="41">
        <f t="shared" ca="1" si="37"/>
        <v>0</v>
      </c>
      <c r="N52" s="62">
        <f t="shared" ca="1" si="35"/>
        <v>0</v>
      </c>
      <c r="O52" s="26" t="s">
        <v>77</v>
      </c>
      <c r="P52" s="76"/>
      <c r="Q52" s="27"/>
      <c r="R52" s="69"/>
      <c r="S52" s="31"/>
    </row>
    <row r="53" spans="1:19" ht="15" customHeight="1">
      <c r="A53" s="23" t="s">
        <v>57</v>
      </c>
      <c r="B53" s="39"/>
      <c r="C53" s="61"/>
      <c r="D53" s="123" t="s">
        <v>113</v>
      </c>
      <c r="E53" s="124"/>
      <c r="F53" s="125"/>
      <c r="G53" s="68"/>
      <c r="H53" s="20">
        <f t="shared" si="34"/>
        <v>23</v>
      </c>
      <c r="I53" s="11">
        <v>46357</v>
      </c>
      <c r="J53" s="11">
        <v>46387</v>
      </c>
      <c r="K53" s="25">
        <f t="shared" ca="1" si="36"/>
        <v>0</v>
      </c>
      <c r="L53" s="25">
        <v>0</v>
      </c>
      <c r="M53" s="41">
        <f t="shared" ca="1" si="37"/>
        <v>0</v>
      </c>
      <c r="N53" s="62">
        <f t="shared" ca="1" si="35"/>
        <v>0</v>
      </c>
      <c r="O53" s="26" t="s">
        <v>77</v>
      </c>
      <c r="P53" s="42"/>
      <c r="Q53" s="27" t="s">
        <v>109</v>
      </c>
      <c r="R53" s="69" t="s">
        <v>108</v>
      </c>
      <c r="S53" s="31"/>
    </row>
    <row r="54" spans="1:19" s="16" customFormat="1" ht="15" customHeight="1">
      <c r="A54" s="1">
        <v>4</v>
      </c>
      <c r="B54" s="135" t="s">
        <v>119</v>
      </c>
      <c r="C54" s="136"/>
      <c r="D54" s="136"/>
      <c r="E54" s="136"/>
      <c r="F54" s="137"/>
      <c r="G54" s="66">
        <v>0.75</v>
      </c>
      <c r="H54" s="7">
        <f t="shared" si="34"/>
        <v>154</v>
      </c>
      <c r="I54" s="8">
        <f>MIN(I55:I62)</f>
        <v>46174</v>
      </c>
      <c r="J54" s="8">
        <f>MAX(J55:J62)</f>
        <v>46387</v>
      </c>
      <c r="K54" s="17">
        <f ca="1">(K55*$G$8)+(K60*$G$24)</f>
        <v>1.7045454545454544</v>
      </c>
      <c r="L54" s="17">
        <f>(L55*$G$8)+(L60*$G$24)</f>
        <v>0</v>
      </c>
      <c r="M54" s="18">
        <f ca="1">L54-K54</f>
        <v>-1.7045454545454544</v>
      </c>
      <c r="N54" s="19">
        <f t="shared" ca="1" si="35"/>
        <v>5</v>
      </c>
      <c r="O54" s="9"/>
      <c r="P54" s="22"/>
      <c r="Q54" s="10"/>
      <c r="R54" s="71"/>
      <c r="S54" s="30"/>
    </row>
    <row r="55" spans="1:19" s="16" customFormat="1" ht="15" customHeight="1">
      <c r="A55" s="59">
        <v>4.0999999999999996</v>
      </c>
      <c r="B55" s="52"/>
      <c r="C55" s="120" t="s">
        <v>114</v>
      </c>
      <c r="D55" s="121"/>
      <c r="E55" s="121"/>
      <c r="F55" s="122"/>
      <c r="G55" s="65">
        <v>0.9</v>
      </c>
      <c r="H55" s="53">
        <f t="shared" si="34"/>
        <v>45</v>
      </c>
      <c r="I55" s="54">
        <f>MIN(I56:I57)</f>
        <v>46174</v>
      </c>
      <c r="J55" s="54">
        <f>MAX(J56:J57)</f>
        <v>46234</v>
      </c>
      <c r="K55" s="55">
        <f ca="1">AVERAGE(K56:K57)</f>
        <v>11.363636363636363</v>
      </c>
      <c r="L55" s="55">
        <f>AVERAGE(L56:L57)</f>
        <v>0</v>
      </c>
      <c r="M55" s="56">
        <f ca="1">L55-K55</f>
        <v>-11.363636363636363</v>
      </c>
      <c r="N55" s="57">
        <f t="shared" ca="1" si="35"/>
        <v>5</v>
      </c>
      <c r="O55" s="58" t="s">
        <v>68</v>
      </c>
      <c r="P55" s="75"/>
      <c r="Q55" s="60"/>
      <c r="R55" s="70"/>
      <c r="S55" s="30"/>
    </row>
    <row r="56" spans="1:19" s="16" customFormat="1" ht="15" customHeight="1">
      <c r="A56" s="23" t="s">
        <v>115</v>
      </c>
      <c r="B56" s="39"/>
      <c r="C56" s="61"/>
      <c r="D56" s="123" t="s">
        <v>116</v>
      </c>
      <c r="E56" s="124"/>
      <c r="F56" s="125"/>
      <c r="G56" s="68"/>
      <c r="H56" s="20">
        <f t="shared" si="34"/>
        <v>22</v>
      </c>
      <c r="I56" s="11">
        <v>46174</v>
      </c>
      <c r="J56" s="11">
        <v>46203</v>
      </c>
      <c r="K56" s="25">
        <f t="shared" ref="K56:K57" ca="1" si="38">IF($O$1&gt;=J56,100,(N56/H56)*100)</f>
        <v>22.727272727272727</v>
      </c>
      <c r="L56" s="25">
        <v>0</v>
      </c>
      <c r="M56" s="41">
        <f t="shared" ref="M56:M57" ca="1" si="39">L56-K56</f>
        <v>-22.727272727272727</v>
      </c>
      <c r="N56" s="62">
        <f t="shared" ca="1" si="35"/>
        <v>5</v>
      </c>
      <c r="O56" s="29"/>
      <c r="P56" s="76"/>
      <c r="Q56" s="27" t="s">
        <v>128</v>
      </c>
      <c r="R56" s="69"/>
      <c r="S56" s="30"/>
    </row>
    <row r="57" spans="1:19" ht="15" customHeight="1">
      <c r="A57" s="23" t="s">
        <v>117</v>
      </c>
      <c r="B57" s="39"/>
      <c r="C57" s="61"/>
      <c r="D57" s="123" t="s">
        <v>118</v>
      </c>
      <c r="E57" s="124"/>
      <c r="F57" s="125"/>
      <c r="G57" s="68"/>
      <c r="H57" s="20">
        <f t="shared" si="34"/>
        <v>23</v>
      </c>
      <c r="I57" s="11">
        <v>46204</v>
      </c>
      <c r="J57" s="11">
        <v>46234</v>
      </c>
      <c r="K57" s="25">
        <f t="shared" ca="1" si="38"/>
        <v>0</v>
      </c>
      <c r="L57" s="25">
        <v>0</v>
      </c>
      <c r="M57" s="41">
        <f t="shared" ca="1" si="39"/>
        <v>0</v>
      </c>
      <c r="N57" s="62">
        <f t="shared" ca="1" si="35"/>
        <v>0</v>
      </c>
      <c r="O57" s="29"/>
      <c r="P57" s="76"/>
      <c r="Q57" s="27" t="s">
        <v>128</v>
      </c>
      <c r="R57" s="69"/>
      <c r="S57" s="30"/>
    </row>
    <row r="58" spans="1:19" s="16" customFormat="1" ht="15" customHeight="1">
      <c r="A58" s="59">
        <v>4.2</v>
      </c>
      <c r="B58" s="52"/>
      <c r="C58" s="120" t="s">
        <v>120</v>
      </c>
      <c r="D58" s="121"/>
      <c r="E58" s="121"/>
      <c r="F58" s="122"/>
      <c r="G58" s="65">
        <v>0.9</v>
      </c>
      <c r="H58" s="53">
        <f t="shared" si="34"/>
        <v>30</v>
      </c>
      <c r="I58" s="54">
        <f>MIN(I59:I59)</f>
        <v>46328</v>
      </c>
      <c r="J58" s="54">
        <f>MAX(J59:J59)</f>
        <v>46367</v>
      </c>
      <c r="K58" s="55">
        <f ca="1">AVERAGE(K59:K59)</f>
        <v>0</v>
      </c>
      <c r="L58" s="55">
        <f>AVERAGE(L59:L59)</f>
        <v>0</v>
      </c>
      <c r="M58" s="56">
        <f ca="1">L58-K58</f>
        <v>0</v>
      </c>
      <c r="N58" s="57">
        <f t="shared" ca="1" si="35"/>
        <v>0</v>
      </c>
      <c r="O58" s="58" t="s">
        <v>162</v>
      </c>
      <c r="P58" s="75"/>
      <c r="Q58" s="60"/>
      <c r="R58" s="70"/>
      <c r="S58" s="30"/>
    </row>
    <row r="59" spans="1:19" s="16" customFormat="1" ht="15" customHeight="1">
      <c r="A59" s="23" t="s">
        <v>122</v>
      </c>
      <c r="B59" s="39"/>
      <c r="C59" s="61"/>
      <c r="D59" s="123" t="s">
        <v>121</v>
      </c>
      <c r="E59" s="124"/>
      <c r="F59" s="125"/>
      <c r="G59" s="68"/>
      <c r="H59" s="20">
        <f t="shared" si="34"/>
        <v>30</v>
      </c>
      <c r="I59" s="11">
        <v>46328</v>
      </c>
      <c r="J59" s="11">
        <v>46367</v>
      </c>
      <c r="K59" s="25">
        <f t="shared" ref="K59" ca="1" si="40">IF($O$1&gt;=J59,100,(N59/H59)*100)</f>
        <v>0</v>
      </c>
      <c r="L59" s="25">
        <v>0</v>
      </c>
      <c r="M59" s="41">
        <f t="shared" ref="M59" ca="1" si="41">L59-K59</f>
        <v>0</v>
      </c>
      <c r="N59" s="62">
        <f t="shared" ca="1" si="35"/>
        <v>0</v>
      </c>
      <c r="O59" s="29" t="s">
        <v>163</v>
      </c>
      <c r="P59" s="76"/>
      <c r="Q59" s="27" t="s">
        <v>109</v>
      </c>
      <c r="R59" s="69" t="s">
        <v>108</v>
      </c>
      <c r="S59" s="30"/>
    </row>
    <row r="60" spans="1:19" s="16" customFormat="1" ht="15" customHeight="1">
      <c r="A60" s="59">
        <v>4.3</v>
      </c>
      <c r="B60" s="52"/>
      <c r="C60" s="120" t="s">
        <v>129</v>
      </c>
      <c r="D60" s="121"/>
      <c r="E60" s="121"/>
      <c r="F60" s="122"/>
      <c r="G60" s="65">
        <v>0.1</v>
      </c>
      <c r="H60" s="53">
        <f t="shared" si="34"/>
        <v>66</v>
      </c>
      <c r="I60" s="54">
        <f>MIN(I61:I62)</f>
        <v>46296</v>
      </c>
      <c r="J60" s="54">
        <f>MAX(J61:J62)</f>
        <v>46387</v>
      </c>
      <c r="K60" s="55">
        <f ca="1">AVERAGE(K61:K62)</f>
        <v>0</v>
      </c>
      <c r="L60" s="55">
        <f>AVERAGE(L61:L62)</f>
        <v>0</v>
      </c>
      <c r="M60" s="56">
        <f ca="1">L60-K60</f>
        <v>0</v>
      </c>
      <c r="N60" s="57">
        <f t="shared" ca="1" si="35"/>
        <v>0</v>
      </c>
      <c r="O60" s="58" t="s">
        <v>132</v>
      </c>
      <c r="P60" s="75"/>
      <c r="Q60" s="60"/>
      <c r="R60" s="70"/>
      <c r="S60" s="31"/>
    </row>
    <row r="61" spans="1:19" ht="15" customHeight="1">
      <c r="A61" s="23" t="s">
        <v>123</v>
      </c>
      <c r="B61" s="24"/>
      <c r="C61" s="24"/>
      <c r="D61" s="149" t="s">
        <v>130</v>
      </c>
      <c r="E61" s="150"/>
      <c r="F61" s="151"/>
      <c r="G61" s="68"/>
      <c r="H61" s="20">
        <f t="shared" si="34"/>
        <v>66</v>
      </c>
      <c r="I61" s="11">
        <v>46296</v>
      </c>
      <c r="J61" s="11">
        <v>46387</v>
      </c>
      <c r="K61" s="25">
        <f ca="1">IF($O$1&gt;=J61,100,(N61/H61)*100)</f>
        <v>0</v>
      </c>
      <c r="L61" s="25">
        <v>0</v>
      </c>
      <c r="M61" s="41">
        <f t="shared" ref="M61:M62" ca="1" si="42">L61-K61</f>
        <v>0</v>
      </c>
      <c r="N61" s="38">
        <f t="shared" ca="1" si="35"/>
        <v>0</v>
      </c>
      <c r="O61" s="26" t="s">
        <v>132</v>
      </c>
      <c r="P61" s="28"/>
      <c r="Q61" s="27" t="s">
        <v>133</v>
      </c>
      <c r="R61" s="69"/>
    </row>
    <row r="62" spans="1:19" ht="15" customHeight="1">
      <c r="A62" s="23" t="s">
        <v>124</v>
      </c>
      <c r="B62" s="24"/>
      <c r="C62" s="24"/>
      <c r="D62" s="149" t="s">
        <v>131</v>
      </c>
      <c r="E62" s="150"/>
      <c r="F62" s="151"/>
      <c r="G62" s="68"/>
      <c r="H62" s="20">
        <f t="shared" si="34"/>
        <v>66</v>
      </c>
      <c r="I62" s="11">
        <v>46296</v>
      </c>
      <c r="J62" s="11">
        <v>46387</v>
      </c>
      <c r="K62" s="25">
        <f ca="1">IF($O$1&gt;=J62,100,(N62/H62)*100)</f>
        <v>0</v>
      </c>
      <c r="L62" s="25">
        <v>0</v>
      </c>
      <c r="M62" s="41">
        <f t="shared" ca="1" si="42"/>
        <v>0</v>
      </c>
      <c r="N62" s="38">
        <f t="shared" ca="1" si="35"/>
        <v>0</v>
      </c>
      <c r="O62" s="26" t="s">
        <v>132</v>
      </c>
      <c r="P62" s="28"/>
      <c r="Q62" s="27" t="s">
        <v>134</v>
      </c>
      <c r="R62" s="69"/>
    </row>
    <row r="64" spans="1:19" ht="15" customHeight="1">
      <c r="A64" s="154" t="s">
        <v>20</v>
      </c>
      <c r="B64" s="154"/>
      <c r="C64" s="154"/>
      <c r="D64" s="154"/>
      <c r="E64" s="154"/>
      <c r="F64" s="154"/>
      <c r="G64" s="154"/>
      <c r="H64" s="154"/>
    </row>
    <row r="65" spans="1:8" ht="13.5">
      <c r="A65" s="72">
        <v>1</v>
      </c>
      <c r="B65" s="155" t="s">
        <v>127</v>
      </c>
      <c r="C65" s="155"/>
      <c r="D65" s="155"/>
      <c r="E65" s="155"/>
      <c r="F65" s="155"/>
      <c r="G65" s="155"/>
      <c r="H65" s="155"/>
    </row>
    <row r="66" spans="1:8" ht="15" customHeight="1">
      <c r="A66" s="72">
        <v>2</v>
      </c>
      <c r="B66" s="152"/>
      <c r="C66" s="152"/>
      <c r="D66" s="152"/>
      <c r="E66" s="152"/>
      <c r="F66" s="152"/>
      <c r="G66" s="152"/>
      <c r="H66" s="152"/>
    </row>
    <row r="67" spans="1:8" ht="15" customHeight="1">
      <c r="A67" s="72"/>
      <c r="B67" s="152"/>
      <c r="C67" s="152"/>
      <c r="D67" s="152"/>
      <c r="E67" s="152"/>
      <c r="F67" s="152"/>
      <c r="G67" s="152"/>
      <c r="H67" s="152"/>
    </row>
    <row r="68" spans="1:8" ht="15" customHeight="1">
      <c r="A68" s="72"/>
      <c r="B68" s="152"/>
      <c r="C68" s="152"/>
      <c r="D68" s="152"/>
      <c r="E68" s="152"/>
      <c r="F68" s="152"/>
      <c r="G68" s="152"/>
      <c r="H68" s="152"/>
    </row>
    <row r="69" spans="1:8" ht="15" customHeight="1">
      <c r="A69" s="72"/>
      <c r="B69" s="152"/>
      <c r="C69" s="152"/>
      <c r="D69" s="152"/>
      <c r="E69" s="152"/>
      <c r="F69" s="152"/>
      <c r="G69" s="152"/>
      <c r="H69" s="152"/>
    </row>
    <row r="70" spans="1:8" ht="15" customHeight="1">
      <c r="A70" s="72"/>
      <c r="B70" s="152"/>
      <c r="C70" s="152"/>
      <c r="D70" s="152"/>
      <c r="E70" s="152"/>
      <c r="F70" s="152"/>
      <c r="G70" s="152"/>
      <c r="H70" s="152"/>
    </row>
    <row r="71" spans="1:8" ht="15" customHeight="1">
      <c r="A71" s="72"/>
      <c r="B71" s="152"/>
      <c r="C71" s="152"/>
      <c r="D71" s="152"/>
      <c r="E71" s="152"/>
      <c r="F71" s="152"/>
      <c r="G71" s="152"/>
      <c r="H71" s="152"/>
    </row>
    <row r="72" spans="1:8" ht="15" customHeight="1">
      <c r="A72" s="72"/>
      <c r="B72" s="152"/>
      <c r="C72" s="152"/>
      <c r="D72" s="152"/>
      <c r="E72" s="152"/>
      <c r="F72" s="152"/>
      <c r="G72" s="152"/>
      <c r="H72" s="152"/>
    </row>
    <row r="73" spans="1:8" ht="15" customHeight="1">
      <c r="A73" s="72"/>
      <c r="B73" s="152"/>
      <c r="C73" s="152"/>
      <c r="D73" s="152"/>
      <c r="E73" s="152"/>
      <c r="F73" s="152"/>
      <c r="G73" s="152"/>
      <c r="H73" s="152"/>
    </row>
    <row r="74" spans="1:8" ht="15" customHeight="1">
      <c r="A74" s="72"/>
      <c r="B74" s="152"/>
      <c r="C74" s="152"/>
      <c r="D74" s="152"/>
      <c r="E74" s="152"/>
      <c r="F74" s="152"/>
      <c r="G74" s="152"/>
      <c r="H74" s="152"/>
    </row>
    <row r="75" spans="1:8" ht="15" customHeight="1">
      <c r="A75" s="73"/>
      <c r="B75" s="153"/>
      <c r="C75" s="153"/>
      <c r="D75" s="153"/>
      <c r="E75" s="153"/>
      <c r="F75" s="153"/>
      <c r="G75" s="153"/>
      <c r="H75" s="153"/>
    </row>
  </sheetData>
  <protectedRanges>
    <protectedRange password="CA19" sqref="A24:B24 K24:L24 L55 D24:F24 A8:B8 K8:L8 D8:F8 G9 K60:L60 H6:H9 K9:K10 G10:H10 A45:B45 K45:L45 D45:F45 G46 A28:B28 K28:L28 D28:F28 G29 K12:K13 A11:B11 G13:H13 K11:L11 D11:F11 G12 H11:H12 A14:B14 K14:L14 D14:F14 G15:G18 K15:K18 G26 A32:B32 K33 K32:L32 D32:F32 G33 A34:B34 K34:L34 D34:F34 G35 H32:H35 G30:H31 K29:K31 G36:H37 K35:K37 A38:B38 G40:H40 K38:L38 D38:F38 G39 K39:K40 H38:H39 L48 K48:K53 L58 K55:K59 K46 K42:K44 H45:H62 A19:B19 K19:L19 D19:F19 K20 G20 H26:H29 K25:K26 G25:H25 H24 A21:B21 K21:L21 D21:F21 H14:H21 G22:H23 K22:K23 A41:B41 K41:L41 D41:F41 G42 H41:H42 G43:H44" name="범위1_3_1"/>
    <protectedRange password="CA19" sqref="A9:F9 A10:C10 A29:F29 A12:F12 A13:C13 A15:F18 A33:F33 A35:F35 A30:C31 A36:C37 A39:F39 A46:F46 A20:F20 A22:F23 A25:C26 A40:C40 A43:C44 A42:F42" name="범위1_2_1"/>
    <protectedRange password="CA19" sqref="I24:J24 J55 I8:J8 J60 I45:J45 I28:J28 I11:J11 I14:J14 I32:J32 I34:J34 I38:J38 J48 J58 I19:J19 I21:J21 I41:J41" name="범위1_2"/>
    <protectedRange password="CA19" sqref="I49:J53 I9:J10 I33:J33 I12:J13 I15:J18 I29:J31 I35:J37 I39:J40 I56:J57 I42:J44 I59:J59 I20:J20 I22:J23 I25:J26 I46:J46" name="범위1_6_3"/>
    <protectedRange password="CA19" sqref="I55 A55:F55 A60:F60 I60 G56:G57 D10:E10 D13:E13 D30:E31 D36:E37 D40:E40 G49 A49:E49 I48 A48:F48 L49:L53 A50:G53 A56:E57 L56:L57 I58 A58:F58 A59:E59 L59 G59 D43:E44 D25:E26" name="범위1_1_2"/>
    <protectedRange password="CA19" sqref="F10 F13 F30:F31 F36:F37 F40 F49 F56:F57 F59 F43:F44 F25:F26" name="범위1_5_1"/>
    <protectedRange password="CA19" sqref="G55 G24 G60 A61:B62 G8 G45 G28 G11 G14 G32 G34 G38 G48 G58 K61:L62 G19 G21 G41" name="범위1_5_2"/>
    <protectedRange password="CA19" sqref="G61:G62 I61:J62" name="범위1_4_2_2"/>
    <protectedRange password="CA19" sqref="C24 C8 C45 C28 C11 C14 C32 C34 C38 C19 C21 C41" name="범위1_3_1_2"/>
  </protectedRanges>
  <autoFilter ref="A3:Q3"/>
  <mergeCells count="85">
    <mergeCell ref="D49:F49"/>
    <mergeCell ref="D50:F50"/>
    <mergeCell ref="D51:F51"/>
    <mergeCell ref="D53:F53"/>
    <mergeCell ref="D52:F52"/>
    <mergeCell ref="B47:F47"/>
    <mergeCell ref="C48:F48"/>
    <mergeCell ref="C32:F32"/>
    <mergeCell ref="D33:F33"/>
    <mergeCell ref="C34:F34"/>
    <mergeCell ref="D35:F35"/>
    <mergeCell ref="D37:F37"/>
    <mergeCell ref="B74:H74"/>
    <mergeCell ref="B75:H75"/>
    <mergeCell ref="A64:H64"/>
    <mergeCell ref="B65:H65"/>
    <mergeCell ref="B66:H66"/>
    <mergeCell ref="B67:H67"/>
    <mergeCell ref="B68:H68"/>
    <mergeCell ref="B69:H69"/>
    <mergeCell ref="B70:H70"/>
    <mergeCell ref="B71:H71"/>
    <mergeCell ref="B72:H72"/>
    <mergeCell ref="B73:H73"/>
    <mergeCell ref="D46:F46"/>
    <mergeCell ref="D36:F36"/>
    <mergeCell ref="D39:F39"/>
    <mergeCell ref="C41:F41"/>
    <mergeCell ref="D42:F42"/>
    <mergeCell ref="D43:F43"/>
    <mergeCell ref="D44:F44"/>
    <mergeCell ref="C38:F38"/>
    <mergeCell ref="D40:F40"/>
    <mergeCell ref="B27:F27"/>
    <mergeCell ref="C28:F28"/>
    <mergeCell ref="D29:F29"/>
    <mergeCell ref="D31:F31"/>
    <mergeCell ref="C45:F45"/>
    <mergeCell ref="D30:F30"/>
    <mergeCell ref="D62:F62"/>
    <mergeCell ref="D61:F61"/>
    <mergeCell ref="B54:F54"/>
    <mergeCell ref="C55:F55"/>
    <mergeCell ref="C60:F60"/>
    <mergeCell ref="C58:F58"/>
    <mergeCell ref="D59:F59"/>
    <mergeCell ref="D56:F56"/>
    <mergeCell ref="D57:F57"/>
    <mergeCell ref="A1:N1"/>
    <mergeCell ref="A4:A5"/>
    <mergeCell ref="G4:G5"/>
    <mergeCell ref="H4:H5"/>
    <mergeCell ref="I4:I5"/>
    <mergeCell ref="J4:J5"/>
    <mergeCell ref="K4:K5"/>
    <mergeCell ref="L4:L5"/>
    <mergeCell ref="M4:M5"/>
    <mergeCell ref="N4:N5"/>
    <mergeCell ref="A2:N2"/>
    <mergeCell ref="B4:F5"/>
    <mergeCell ref="R4:R5"/>
    <mergeCell ref="C8:F8"/>
    <mergeCell ref="D9:F9"/>
    <mergeCell ref="D15:F15"/>
    <mergeCell ref="Q4:Q5"/>
    <mergeCell ref="O4:O5"/>
    <mergeCell ref="B7:F7"/>
    <mergeCell ref="D13:F13"/>
    <mergeCell ref="C14:F14"/>
    <mergeCell ref="C24:F24"/>
    <mergeCell ref="D26:F26"/>
    <mergeCell ref="P4:P5"/>
    <mergeCell ref="B6:F6"/>
    <mergeCell ref="D10:F10"/>
    <mergeCell ref="C11:F11"/>
    <mergeCell ref="D12:F12"/>
    <mergeCell ref="C19:F19"/>
    <mergeCell ref="D20:F20"/>
    <mergeCell ref="D25:F25"/>
    <mergeCell ref="C21:F21"/>
    <mergeCell ref="D22:F22"/>
    <mergeCell ref="D23:F23"/>
    <mergeCell ref="D16:F16"/>
    <mergeCell ref="D17:F17"/>
    <mergeCell ref="D18:F18"/>
  </mergeCells>
  <phoneticPr fontId="2" type="noConversion"/>
  <conditionalFormatting sqref="A60:B60 B6 A10 B26:C26 A49:A53 A56:A57 A59 A61:A62">
    <cfRule type="expression" dxfId="91" priority="182">
      <formula>($B6="G")</formula>
    </cfRule>
  </conditionalFormatting>
  <conditionalFormatting sqref="A7">
    <cfRule type="expression" dxfId="90" priority="181">
      <formula>($B7="G")</formula>
    </cfRule>
  </conditionalFormatting>
  <conditionalFormatting sqref="B7">
    <cfRule type="expression" dxfId="89" priority="177">
      <formula>($B7="G")</formula>
    </cfRule>
  </conditionalFormatting>
  <conditionalFormatting sqref="A54">
    <cfRule type="expression" dxfId="88" priority="176">
      <formula>($B54="G")</formula>
    </cfRule>
  </conditionalFormatting>
  <conditionalFormatting sqref="B54">
    <cfRule type="expression" dxfId="87" priority="175">
      <formula>($B54="G")</formula>
    </cfRule>
  </conditionalFormatting>
  <conditionalFormatting sqref="A24">
    <cfRule type="expression" dxfId="86" priority="169">
      <formula>($B24="G")</formula>
    </cfRule>
  </conditionalFormatting>
  <conditionalFormatting sqref="B24">
    <cfRule type="expression" dxfId="85" priority="168">
      <formula>($B24="G")</formula>
    </cfRule>
  </conditionalFormatting>
  <conditionalFormatting sqref="A55">
    <cfRule type="expression" dxfId="84" priority="158">
      <formula>($B55="G")</formula>
    </cfRule>
  </conditionalFormatting>
  <conditionalFormatting sqref="B55">
    <cfRule type="expression" dxfId="83" priority="157">
      <formula>($B55="G")</formula>
    </cfRule>
  </conditionalFormatting>
  <conditionalFormatting sqref="B56">
    <cfRule type="expression" dxfId="82" priority="154">
      <formula>($B56="G")</formula>
    </cfRule>
  </conditionalFormatting>
  <conditionalFormatting sqref="C56">
    <cfRule type="expression" dxfId="81" priority="153">
      <formula>($B56="G")</formula>
    </cfRule>
  </conditionalFormatting>
  <conditionalFormatting sqref="C57">
    <cfRule type="expression" dxfId="80" priority="122">
      <formula>($B57="G")</formula>
    </cfRule>
  </conditionalFormatting>
  <conditionalFormatting sqref="B57">
    <cfRule type="expression" dxfId="79" priority="123">
      <formula>($B57="G")</formula>
    </cfRule>
  </conditionalFormatting>
  <conditionalFormatting sqref="C24">
    <cfRule type="expression" dxfId="78" priority="113">
      <formula>($B24="G")</formula>
    </cfRule>
  </conditionalFormatting>
  <conditionalFormatting sqref="B61:D62">
    <cfRule type="expression" dxfId="77" priority="793">
      <formula>(#REF!=1)</formula>
    </cfRule>
    <cfRule type="expression" dxfId="76" priority="794">
      <formula>($B61="G")</formula>
    </cfRule>
  </conditionalFormatting>
  <conditionalFormatting sqref="A6">
    <cfRule type="expression" dxfId="75" priority="110">
      <formula>($B6="G")</formula>
    </cfRule>
  </conditionalFormatting>
  <conditionalFormatting sqref="C55">
    <cfRule type="expression" dxfId="74" priority="96">
      <formula>($B55="G")</formula>
    </cfRule>
  </conditionalFormatting>
  <conditionalFormatting sqref="C60">
    <cfRule type="expression" dxfId="73" priority="95">
      <formula>($B60="G")</formula>
    </cfRule>
  </conditionalFormatting>
  <conditionalFormatting sqref="A9:D9 B10:C10">
    <cfRule type="expression" dxfId="72" priority="94">
      <formula>($B9="G")</formula>
    </cfRule>
  </conditionalFormatting>
  <conditionalFormatting sqref="A8">
    <cfRule type="expression" dxfId="71" priority="93">
      <formula>($B8="G")</formula>
    </cfRule>
  </conditionalFormatting>
  <conditionalFormatting sqref="B8">
    <cfRule type="expression" dxfId="70" priority="92">
      <formula>($B8="G")</formula>
    </cfRule>
  </conditionalFormatting>
  <conditionalFormatting sqref="C8">
    <cfRule type="expression" dxfId="69" priority="90">
      <formula>($B8="G")</formula>
    </cfRule>
  </conditionalFormatting>
  <conditionalFormatting sqref="A46:D46">
    <cfRule type="expression" dxfId="68" priority="76">
      <formula>($B46="G")</formula>
    </cfRule>
  </conditionalFormatting>
  <conditionalFormatting sqref="A27">
    <cfRule type="expression" dxfId="67" priority="75">
      <formula>($B27="G")</formula>
    </cfRule>
  </conditionalFormatting>
  <conditionalFormatting sqref="B27">
    <cfRule type="expression" dxfId="66" priority="74">
      <formula>($B27="G")</formula>
    </cfRule>
  </conditionalFormatting>
  <conditionalFormatting sqref="A45">
    <cfRule type="expression" dxfId="65" priority="73">
      <formula>($B45="G")</formula>
    </cfRule>
  </conditionalFormatting>
  <conditionalFormatting sqref="B45">
    <cfRule type="expression" dxfId="64" priority="72">
      <formula>($B45="G")</formula>
    </cfRule>
  </conditionalFormatting>
  <conditionalFormatting sqref="C45">
    <cfRule type="expression" dxfId="63" priority="71">
      <formula>($B45="G")</formula>
    </cfRule>
  </conditionalFormatting>
  <conditionalFormatting sqref="A29:D29 B31:C31">
    <cfRule type="expression" dxfId="62" priority="69">
      <formula>($B29="G")</formula>
    </cfRule>
  </conditionalFormatting>
  <conditionalFormatting sqref="A28">
    <cfRule type="expression" dxfId="61" priority="68">
      <formula>($B28="G")</formula>
    </cfRule>
  </conditionalFormatting>
  <conditionalFormatting sqref="B28">
    <cfRule type="expression" dxfId="60" priority="67">
      <formula>($B28="G")</formula>
    </cfRule>
  </conditionalFormatting>
  <conditionalFormatting sqref="C28">
    <cfRule type="expression" dxfId="59" priority="66">
      <formula>($B28="G")</formula>
    </cfRule>
  </conditionalFormatting>
  <conditionalFormatting sqref="A12:D12 A13:C13">
    <cfRule type="expression" dxfId="58" priority="65">
      <formula>($B12="G")</formula>
    </cfRule>
  </conditionalFormatting>
  <conditionalFormatting sqref="A11">
    <cfRule type="expression" dxfId="57" priority="64">
      <formula>($B11="G")</formula>
    </cfRule>
  </conditionalFormatting>
  <conditionalFormatting sqref="B11">
    <cfRule type="expression" dxfId="56" priority="63">
      <formula>($B11="G")</formula>
    </cfRule>
  </conditionalFormatting>
  <conditionalFormatting sqref="C11">
    <cfRule type="expression" dxfId="55" priority="62">
      <formula>($B11="G")</formula>
    </cfRule>
  </conditionalFormatting>
  <conditionalFormatting sqref="A15:D18">
    <cfRule type="expression" dxfId="54" priority="61">
      <formula>($B15="G")</formula>
    </cfRule>
  </conditionalFormatting>
  <conditionalFormatting sqref="A14">
    <cfRule type="expression" dxfId="53" priority="60">
      <formula>($B14="G")</formula>
    </cfRule>
  </conditionalFormatting>
  <conditionalFormatting sqref="B14">
    <cfRule type="expression" dxfId="52" priority="59">
      <formula>($B14="G")</formula>
    </cfRule>
  </conditionalFormatting>
  <conditionalFormatting sqref="C14">
    <cfRule type="expression" dxfId="51" priority="58">
      <formula>($B14="G")</formula>
    </cfRule>
  </conditionalFormatting>
  <conditionalFormatting sqref="A33:D33">
    <cfRule type="expression" dxfId="50" priority="57">
      <formula>($B33="G")</formula>
    </cfRule>
  </conditionalFormatting>
  <conditionalFormatting sqref="A32">
    <cfRule type="expression" dxfId="49" priority="56">
      <formula>($B32="G")</formula>
    </cfRule>
  </conditionalFormatting>
  <conditionalFormatting sqref="B32">
    <cfRule type="expression" dxfId="48" priority="55">
      <formula>($B32="G")</formula>
    </cfRule>
  </conditionalFormatting>
  <conditionalFormatting sqref="C32">
    <cfRule type="expression" dxfId="47" priority="54">
      <formula>($B32="G")</formula>
    </cfRule>
  </conditionalFormatting>
  <conditionalFormatting sqref="B37:C37">
    <cfRule type="expression" dxfId="46" priority="53">
      <formula>($B37="G")</formula>
    </cfRule>
  </conditionalFormatting>
  <conditionalFormatting sqref="A35:D35">
    <cfRule type="expression" dxfId="45" priority="52">
      <formula>($B35="G")</formula>
    </cfRule>
  </conditionalFormatting>
  <conditionalFormatting sqref="A34">
    <cfRule type="expression" dxfId="44" priority="51">
      <formula>($B34="G")</formula>
    </cfRule>
  </conditionalFormatting>
  <conditionalFormatting sqref="B34">
    <cfRule type="expression" dxfId="43" priority="50">
      <formula>($B34="G")</formula>
    </cfRule>
  </conditionalFormatting>
  <conditionalFormatting sqref="C34">
    <cfRule type="expression" dxfId="42" priority="49">
      <formula>($B34="G")</formula>
    </cfRule>
  </conditionalFormatting>
  <conditionalFormatting sqref="A30:C30 A31">
    <cfRule type="expression" dxfId="41" priority="48">
      <formula>($B30="G")</formula>
    </cfRule>
  </conditionalFormatting>
  <conditionalFormatting sqref="A36:C36 A37">
    <cfRule type="expression" dxfId="40" priority="47">
      <formula>($B36="G")</formula>
    </cfRule>
  </conditionalFormatting>
  <conditionalFormatting sqref="B40:C40">
    <cfRule type="expression" dxfId="39" priority="46">
      <formula>($B40="G")</formula>
    </cfRule>
  </conditionalFormatting>
  <conditionalFormatting sqref="A39:D39 A40">
    <cfRule type="expression" dxfId="38" priority="45">
      <formula>($B39="G")</formula>
    </cfRule>
  </conditionalFormatting>
  <conditionalFormatting sqref="A38">
    <cfRule type="expression" dxfId="37" priority="44">
      <formula>($B38="G")</formula>
    </cfRule>
  </conditionalFormatting>
  <conditionalFormatting sqref="B38">
    <cfRule type="expression" dxfId="36" priority="43">
      <formula>($B38="G")</formula>
    </cfRule>
  </conditionalFormatting>
  <conditionalFormatting sqref="C38">
    <cfRule type="expression" dxfId="35" priority="42">
      <formula>($B38="G")</formula>
    </cfRule>
  </conditionalFormatting>
  <conditionalFormatting sqref="B51:C53">
    <cfRule type="expression" dxfId="34" priority="41">
      <formula>($B51="G")</formula>
    </cfRule>
  </conditionalFormatting>
  <conditionalFormatting sqref="A47">
    <cfRule type="expression" dxfId="33" priority="40">
      <formula>($B47="G")</formula>
    </cfRule>
  </conditionalFormatting>
  <conditionalFormatting sqref="B47">
    <cfRule type="expression" dxfId="32" priority="39">
      <formula>($B47="G")</formula>
    </cfRule>
  </conditionalFormatting>
  <conditionalFormatting sqref="A48">
    <cfRule type="expression" dxfId="31" priority="38">
      <formula>($B48="G")</formula>
    </cfRule>
  </conditionalFormatting>
  <conditionalFormatting sqref="B48">
    <cfRule type="expression" dxfId="30" priority="37">
      <formula>($B48="G")</formula>
    </cfRule>
  </conditionalFormatting>
  <conditionalFormatting sqref="B49">
    <cfRule type="expression" dxfId="29" priority="36">
      <formula>($B49="G")</formula>
    </cfRule>
  </conditionalFormatting>
  <conditionalFormatting sqref="C49">
    <cfRule type="expression" dxfId="28" priority="35">
      <formula>($B49="G")</formula>
    </cfRule>
  </conditionalFormatting>
  <conditionalFormatting sqref="C50">
    <cfRule type="expression" dxfId="27" priority="33">
      <formula>($B50="G")</formula>
    </cfRule>
  </conditionalFormatting>
  <conditionalFormatting sqref="B50">
    <cfRule type="expression" dxfId="26" priority="34">
      <formula>($B50="G")</formula>
    </cfRule>
  </conditionalFormatting>
  <conditionalFormatting sqref="C48">
    <cfRule type="expression" dxfId="25" priority="30">
      <formula>($B48="G")</formula>
    </cfRule>
  </conditionalFormatting>
  <conditionalFormatting sqref="D52">
    <cfRule type="expression" dxfId="24" priority="29">
      <formula>($B52="G")</formula>
    </cfRule>
  </conditionalFormatting>
  <conditionalFormatting sqref="P52">
    <cfRule type="expression" dxfId="23" priority="28">
      <formula>($B52="G")</formula>
    </cfRule>
  </conditionalFormatting>
  <conditionalFormatting sqref="D53">
    <cfRule type="expression" dxfId="22" priority="27">
      <formula>($B53="G")</formula>
    </cfRule>
  </conditionalFormatting>
  <conditionalFormatting sqref="P53">
    <cfRule type="expression" dxfId="21" priority="26">
      <formula>($B53="G")</formula>
    </cfRule>
  </conditionalFormatting>
  <conditionalFormatting sqref="A58">
    <cfRule type="expression" dxfId="20" priority="24">
      <formula>($B58="G")</formula>
    </cfRule>
  </conditionalFormatting>
  <conditionalFormatting sqref="B58">
    <cfRule type="expression" dxfId="19" priority="23">
      <formula>($B58="G")</formula>
    </cfRule>
  </conditionalFormatting>
  <conditionalFormatting sqref="B59">
    <cfRule type="expression" dxfId="18" priority="22">
      <formula>($B59="G")</formula>
    </cfRule>
  </conditionalFormatting>
  <conditionalFormatting sqref="C59">
    <cfRule type="expression" dxfId="17" priority="21">
      <formula>($B59="G")</formula>
    </cfRule>
  </conditionalFormatting>
  <conditionalFormatting sqref="C58">
    <cfRule type="expression" dxfId="16" priority="18">
      <formula>($B58="G")</formula>
    </cfRule>
  </conditionalFormatting>
  <conditionalFormatting sqref="A20:D20">
    <cfRule type="expression" dxfId="15" priority="16">
      <formula>($B20="G")</formula>
    </cfRule>
  </conditionalFormatting>
  <conditionalFormatting sqref="A19">
    <cfRule type="expression" dxfId="14" priority="15">
      <formula>($B19="G")</formula>
    </cfRule>
  </conditionalFormatting>
  <conditionalFormatting sqref="B19">
    <cfRule type="expression" dxfId="13" priority="14">
      <formula>($B19="G")</formula>
    </cfRule>
  </conditionalFormatting>
  <conditionalFormatting sqref="C19">
    <cfRule type="expression" dxfId="12" priority="13">
      <formula>($B19="G")</formula>
    </cfRule>
  </conditionalFormatting>
  <conditionalFormatting sqref="A25:C25 A26">
    <cfRule type="expression" dxfId="11" priority="12">
      <formula>($B25="G")</formula>
    </cfRule>
  </conditionalFormatting>
  <conditionalFormatting sqref="B23:D23">
    <cfRule type="expression" dxfId="10" priority="11">
      <formula>($B23="G")</formula>
    </cfRule>
  </conditionalFormatting>
  <conditionalFormatting sqref="A21">
    <cfRule type="expression" dxfId="9" priority="10">
      <formula>($B21="G")</formula>
    </cfRule>
  </conditionalFormatting>
  <conditionalFormatting sqref="B21">
    <cfRule type="expression" dxfId="8" priority="9">
      <formula>($B21="G")</formula>
    </cfRule>
  </conditionalFormatting>
  <conditionalFormatting sqref="C21">
    <cfRule type="expression" dxfId="7" priority="8">
      <formula>($B21="G")</formula>
    </cfRule>
  </conditionalFormatting>
  <conditionalFormatting sqref="A22:D22 A23">
    <cfRule type="expression" dxfId="6" priority="7">
      <formula>($B22="G")</formula>
    </cfRule>
  </conditionalFormatting>
  <conditionalFormatting sqref="B44:C44">
    <cfRule type="expression" dxfId="5" priority="6">
      <formula>($B44="G")</formula>
    </cfRule>
  </conditionalFormatting>
  <conditionalFormatting sqref="A42:D42 A43:A44">
    <cfRule type="expression" dxfId="4" priority="5">
      <formula>($B42="G")</formula>
    </cfRule>
  </conditionalFormatting>
  <conditionalFormatting sqref="A41">
    <cfRule type="expression" dxfId="3" priority="4">
      <formula>($B41="G")</formula>
    </cfRule>
  </conditionalFormatting>
  <conditionalFormatting sqref="B41">
    <cfRule type="expression" dxfId="2" priority="3">
      <formula>($B41="G")</formula>
    </cfRule>
  </conditionalFormatting>
  <conditionalFormatting sqref="C41">
    <cfRule type="expression" dxfId="1" priority="2">
      <formula>($B41="G")</formula>
    </cfRule>
  </conditionalFormatting>
  <conditionalFormatting sqref="B43:C43">
    <cfRule type="expression" dxfId="0" priority="1">
      <formula>($B43="G")</formula>
    </cfRule>
  </conditionalFormatting>
  <pageMargins left="0.25" right="0.25" top="0.75" bottom="0.75" header="0.3" footer="0.3"/>
  <pageSetup paperSize="9" scale="80" fitToHeight="0" orientation="landscape" r:id="rId1"/>
  <headerFooter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A2147780843234E9819490595C101AB" ma:contentTypeVersion="0" ma:contentTypeDescription="새 문서를 만듭니다." ma:contentTypeScope="" ma:versionID="32a3dd2f40b8c0b567ad8a06eec4256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de5ead52f18b045e35d86ba2d2129d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C21599-9111-40D7-AF29-361036955F0F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4DBDF6E-7113-4056-8E80-30D23F298B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127710-56B6-4CFD-9108-DC5A4DD90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1.표지</vt:lpstr>
      <vt:lpstr>2.개정이력</vt:lpstr>
      <vt:lpstr>3.WBS</vt:lpstr>
      <vt:lpstr>'3.WBS'!Print_Area</vt:lpstr>
      <vt:lpstr>'3.WBS'!Print_Titles</vt:lpstr>
    </vt:vector>
  </TitlesOfParts>
  <Company>이지케어텍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정윤호</dc:creator>
  <cp:lastModifiedBy>user</cp:lastModifiedBy>
  <cp:lastPrinted>2024-03-13T08:17:17Z</cp:lastPrinted>
  <dcterms:created xsi:type="dcterms:W3CDTF">2008-11-15T08:55:01Z</dcterms:created>
  <dcterms:modified xsi:type="dcterms:W3CDTF">2026-06-05T01:30:17Z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3bfd3876-f222-4a00-9da9-71f20cf4fa59</vt:lpwstr>
  </property>
  <property fmtid="{D5CDD505-2E9C-101B-9397-08002B2CF9AE}" pid="3" name="ContentTypeId">
    <vt:lpwstr>0x010100AA2147780843234E9819490595C101AB</vt:lpwstr>
  </property>
</Properties>
</file>